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4.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 Me" sheetId="1" state="visible" r:id="rId3"/>
    <sheet name="Rubric" sheetId="2" state="visible" r:id="rId4"/>
    <sheet name="Agent Roster" sheetId="3" state="visible" r:id="rId5"/>
    <sheet name="Issue Register" sheetId="4" state="visible" r:id="rId6"/>
    <sheet name="Folder Health" sheetId="5" state="visible" r:id="rId7"/>
    <sheet name="Summary" sheetId="6" state="visible" r:id="rId8"/>
  </sheets>
  <definedNames>
    <definedName function="false" hidden="true" localSheetId="3" name="_xlnm._FilterDatabase" vbProcedure="false">'Issue Register'!$A$1:$T$141</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<sst xmlns="http://schemas.openxmlformats.org/spreadsheetml/2006/main" count="1886" uniqueCount="1007">
  <si>
    <t xml:space="preserve">HENLEY HUB — FULL CODEBASE AUDIT REGISTER</t>
  </si>
  <si>
    <t xml:space="preserve">Rebuilt fresh 2026-07-23 (original workbook not found on Arnab's machine; rebuilt to the brief's spec, seeds re-derived from the repo's own handoff docs).</t>
  </si>
  <si>
    <t xml:space="preserve">Repo: github.com/henleynm-sketch/my-project · Branch audited: claude/henley-hub-platform-2wIAN (commit 71ae4de, 2026-07-06)</t>
  </si>
  <si>
    <t xml:space="preserve">METHOD</t>
  </si>
  <si>
    <t xml:space="preserve">Eleven read-only folder auditors (A1–A11) each read every file in their assigned folder (see Agent Roster). One orchestrator (A0) de-duplicated, re-graded severity against the Rubric, and ran a cross-cutting sweep for issues no single folder owns. No agent edited, committed, or ran any write command. This brief writes no code.</t>
  </si>
  <si>
    <t xml:space="preserve">EVIDENCE GATE</t>
  </si>
  <si>
    <t xml:space="preserve">No row exists without a real repo-relative file path and a line number or symbol an agent actually read. Context-known rows (Source = Context-known) were seeded from handoff docs, NOT from reading code; each started at Status = Verify and was Confirmed or Rejected by the owning agent pointing at the actual code. Rejected rows keep their row and record why. Secret VALUES never appear anywhere in this workbook — file and variable names only.</t>
  </si>
  <si>
    <t xml:space="preserve">LIMITATIONS</t>
  </si>
  <si>
    <t xml:space="preserve">Static read-only review: nothing was executed, so runtime-only behaviour (race conditions, third-party API responses, prod config) is inferred from code. Docs vs repo drift is resolved in favour of the repo. The QuickBooks guardrail files were read and reported on but no fix may edit them directly. Door 1 and v1 API scopes are frozen contracts — findings recorded, changes not proposed.</t>
  </si>
  <si>
    <t xml:space="preserve">HOW TO READ</t>
  </si>
  <si>
    <t xml:space="preserve">Sort Issue Register by Priority (col N, descending). Priority = severity weight × likelihood ÷ effort — quick wins rank above slow ones at equal severity. Check Summary readiness: 'Rows with no file path yet' must be 0 before trusting this register. Fix phase: when a row is fixed, set Status = Fixed and paste the commit hash in col T.</t>
  </si>
  <si>
    <t xml:space="preserve">SEVERITY</t>
  </si>
  <si>
    <t xml:space="preserve">S1</t>
  </si>
  <si>
    <t xml:space="preserve">8</t>
  </si>
  <si>
    <t xml:space="preserve">Critical: a client/sub can reach another project's data or financials; role gating bypassable; exposed/committed secrets; destructive data-loss path reachable in prod.</t>
  </si>
  <si>
    <t xml:space="preserve">S2</t>
  </si>
  <si>
    <t xml:space="preserve">4</t>
  </si>
  <si>
    <t xml:space="preserve">Security/reliability hardening: missing server-side validation on a mutation, missing authz on a route, non-durable rate limit/idempotency, unhandled integration failure that corrupts state, no backups.</t>
  </si>
  <si>
    <t xml:space="preserve">S3</t>
  </si>
  <si>
    <t xml:space="preserve">2</t>
  </si>
  <si>
    <t xml:space="preserve">Correctness/performance: N+1s, unbounded queries, float money at an edge, contained wrong logic, missing indexes/cascades.</t>
  </si>
  <si>
    <t xml:space="preserve">S4</t>
  </si>
  <si>
    <t xml:space="preserve">1</t>
  </si>
  <si>
    <t xml:space="preserve">UI polish, hardcoded hex vs tokens, dead code, docs drift, tidy-up.</t>
  </si>
  <si>
    <t xml:space="preserve">LIKELIHOOD</t>
  </si>
  <si>
    <t xml:space="preserve">High</t>
  </si>
  <si>
    <t xml:space="preserve">3</t>
  </si>
  <si>
    <t xml:space="preserve">Bites in normal production use — on the default path or triggered by any curious user.</t>
  </si>
  <si>
    <t xml:space="preserve">Medium</t>
  </si>
  <si>
    <t xml:space="preserve">Needs a specific-but-plausible situation (role combination, integration hiccup, scale).</t>
  </si>
  <si>
    <t xml:space="preserve">Low</t>
  </si>
  <si>
    <t xml:space="preserve">Edge case, future migration, or requires deliberate unusual action.</t>
  </si>
  <si>
    <t xml:space="preserve">EFFORT</t>
  </si>
  <si>
    <t xml:space="preserve">S</t>
  </si>
  <si>
    <t xml:space="preserve">Under an hour, one writer, one file or a small set.</t>
  </si>
  <si>
    <t xml:space="preserve">M</t>
  </si>
  <si>
    <t xml:space="preserve">Roughly a half-day; touches several files or needs a small migration.</t>
  </si>
  <si>
    <t xml:space="preserve">L</t>
  </si>
  <si>
    <t xml:space="preserve">Multi-day; schema change, storage move, or architectural rework.</t>
  </si>
  <si>
    <t xml:space="preserve">PRIORITY</t>
  </si>
  <si>
    <t xml:space="preserve">Formula in Issue Register col N: severity weight × likelihood weight ÷ effort weight. Quick wins outrank slow ones at equal severity. Ask A0 to switch to pure risk (ignore effort) if preferred.</t>
  </si>
  <si>
    <t xml:space="preserve">CATEGORY</t>
  </si>
  <si>
    <t xml:space="preserve">Data Isolation · Security · Secrets · Validation · Reliability · Correctness · Performance · Config/Deploy · UI/UX · Code Quality</t>
  </si>
  <si>
    <t xml:space="preserve">STATUS</t>
  </si>
  <si>
    <t xml:space="preserve">Verify</t>
  </si>
  <si>
    <t xml:space="preserve">Seeded from context/handoff notes; not yet checked against the repo. None may remain at audit acceptance.</t>
  </si>
  <si>
    <t xml:space="preserve">Confirmed</t>
  </si>
  <si>
    <t xml:space="preserve">An agent pointed at the actual file and line.</t>
  </si>
  <si>
    <t xml:space="preserve">Rejected</t>
  </si>
  <si>
    <t xml:space="preserve">Checked against the repo and found not to hold; the row stays, with the reason, for the record.</t>
  </si>
  <si>
    <t xml:space="preserve">Fixed</t>
  </si>
  <si>
    <t xml:space="preserve">Fix landed — requires a commit hash in col T, tsc --noEmit clean, and a hard-refresh render.</t>
  </si>
  <si>
    <t xml:space="preserve">Agent</t>
  </si>
  <si>
    <t xml:space="preserve">Folder / scope</t>
  </si>
  <si>
    <t xml:space="preserve">Headline hunt</t>
  </si>
  <si>
    <t xml:space="preserve">Seeded rows owned</t>
  </si>
  <si>
    <t xml:space="preserve">A0</t>
  </si>
  <si>
    <t xml:space="preserve">Orchestrator</t>
  </si>
  <si>
    <t xml:space="preserve">Assign, merge, de-duplicate, normalise severity, cross-cutting sweep, final review</t>
  </si>
  <si>
    <t xml:space="preserve">—</t>
  </si>
  <si>
    <t xml:space="preserve">A1</t>
  </si>
  <si>
    <t xml:space="preserve">packages/db (prisma schema + seeds)</t>
  </si>
  <si>
    <t xml:space="preserve">Indexes, cascades, unvalidated status strings, seed safety</t>
  </si>
  <si>
    <t xml:space="preserve">HH-012</t>
  </si>
  <si>
    <t xml:space="preserve">A2</t>
  </si>
  <si>
    <t xml:space="preserve">apps/web/src/lib core (roles, actions, notifications, assistant)</t>
  </si>
  <si>
    <t xml:space="preserve">Bypassable permission helpers, float money, duplicate clients</t>
  </si>
  <si>
    <t xml:space="preserve">A3</t>
  </si>
  <si>
    <t xml:space="preserve">apps/web/src/lib/services</t>
  </si>
  <si>
    <t xml:space="preserve">Queries missing a project scope, N+1s, unbounded finds</t>
  </si>
  <si>
    <t xml:space="preserve">HH-002</t>
  </si>
  <si>
    <t xml:space="preserve">A4</t>
  </si>
  <si>
    <t xml:space="preserve">apps/web/src/lib/api</t>
  </si>
  <si>
    <t xml:space="preserve">Rate limit + idempotency durability, missing scope checks</t>
  </si>
  <si>
    <t xml:space="preserve">HH-014</t>
  </si>
  <si>
    <t xml:space="preserve">A5</t>
  </si>
  <si>
    <t xml:space="preserve">apps/web/src/app/api (v1, oauth, external)</t>
  </si>
  <si>
    <t xml:space="preserve">Scope/action mismatches, unvalidated bodies, Door 1 integrity</t>
  </si>
  <si>
    <t xml:space="preserve">HH-013</t>
  </si>
  <si>
    <t xml:space="preserve">A6</t>
  </si>
  <si>
    <t xml:space="preserve">app/(app): projects, jobs, schedule, files, selections, tasks</t>
  </si>
  <si>
    <t xml:space="preserve">Sub-tab queries not scoped to the current job; tester's files/selections findings</t>
  </si>
  <si>
    <t xml:space="preserve">HH-001, HH-003</t>
  </si>
  <si>
    <t xml:space="preserve">A7</t>
  </si>
  <si>
    <t xml:space="preserve">app/(app): crm, clients, estimates, financials, inbox, vendors, contracts, dashboard</t>
  </si>
  <si>
    <t xml:space="preserve">Missing server-side validation, role leakage</t>
  </si>
  <si>
    <t xml:space="preserve">HH-004, HH-015</t>
  </si>
  <si>
    <t xml:space="preserve">A8</t>
  </si>
  <si>
    <t xml:space="preserve">app/(app)/settings + auth.ts / auth.config.ts / middleware.ts + login/invite/reset routes</t>
  </si>
  <si>
    <t xml:space="preserve">In-component action helpers, middleware matcher gaps, demo passwords</t>
  </si>
  <si>
    <t xml:space="preserve">HH-010</t>
  </si>
  <si>
    <t xml:space="preserve">A9</t>
  </si>
  <si>
    <t xml:space="preserve">components + globals.css + layout + tailwind config</t>
  </si>
  <si>
    <t xml:space="preserve">Hardcoded hex, comma trap, dark-mode tokens, tap targets</t>
  </si>
  <si>
    <t xml:space="preserve">HH-017, HH-018</t>
  </si>
  <si>
    <t xml:space="preserve">A10</t>
  </si>
  <si>
    <t xml:space="preserve">lib integration clients (quickbooks, jobtread, quo, m365, sharepoint, oauth) + app integrations pages</t>
  </si>
  <si>
    <t xml:space="preserve">Unhandled failures, secrets read from source, missing retries</t>
  </si>
  <si>
    <t xml:space="preserve">HH-005, HH-007, HH-008, HH-016</t>
  </si>
  <si>
    <t xml:space="preserve">A11</t>
  </si>
  <si>
    <t xml:space="preserve">Root config, .github, deploy, docs, ecosystem.config.js, imports</t>
  </si>
  <si>
    <t xml:space="preserve">CI, backups, PM2/SQLite, destructive resets, B1 scaffold noise</t>
  </si>
  <si>
    <t xml:space="preserve">HH-006, HH-009, HH-011</t>
  </si>
  <si>
    <t xml:space="preserve">ID</t>
  </si>
  <si>
    <t xml:space="preserve">Source</t>
  </si>
  <si>
    <t xml:space="preserve">Status</t>
  </si>
  <si>
    <t xml:space="preserve">Folder</t>
  </si>
  <si>
    <t xml:space="preserve">File path(s)</t>
  </si>
  <si>
    <t xml:space="preserve">Line / symbol</t>
  </si>
  <si>
    <t xml:space="preserve">Category</t>
  </si>
  <si>
    <t xml:space="preserve">Title</t>
  </si>
  <si>
    <t xml:space="preserve">What is wrong</t>
  </si>
  <si>
    <t xml:space="preserve">Why it matters</t>
  </si>
  <si>
    <t xml:space="preserve">Severity</t>
  </si>
  <si>
    <t xml:space="preserve">Likelihood</t>
  </si>
  <si>
    <t xml:space="preserve">Priority</t>
  </si>
  <si>
    <t xml:space="preserve">Effort</t>
  </si>
  <si>
    <t xml:space="preserve">Proposed fix</t>
  </si>
  <si>
    <t xml:space="preserve">Fix touches</t>
  </si>
  <si>
    <t xml:space="preserve">How to verify fix</t>
  </si>
  <si>
    <t xml:space="preserve">Guardrail</t>
  </si>
  <si>
    <t xml:space="preserve">Commit hash (fix)</t>
  </si>
  <si>
    <t xml:space="preserve">HH-001</t>
  </si>
  <si>
    <t xml:space="preserve">Context-known</t>
  </si>
  <si>
    <t xml:space="preserve">projects/files</t>
  </si>
  <si>
    <t xml:space="preserve">apps/web/src/lib/services/fileService.ts</t>
  </si>
  <si>
    <t xml:space="preserve">127 (storeFileBinary local fallback)</t>
  </si>
  <si>
    <t xml:space="preserve">Reliability</t>
  </si>
  <si>
    <t xml:space="preserve">Files: cloud storage backend not wired — binaries on local disk</t>
  </si>
  <si>
    <t xml:space="preserve">Uploads are written to local disk (public/uploads/documents) via fs writeFile; Document.url points at a local path.
[AUDIT VERDICT] Local-disk fallback writes documents/log photos under public/ served as authz-free static URLs (A3-1, A6-4); the role-gated proxy at api/files/[id]/route.ts:24-43 exists but every UI links direct public URLs and the proxy redirects to them, nullifying it (A0-2); v1 upload also has no size cap (A5-7).</t>
  </si>
  <si>
    <t xml:space="preserve">Not production-portable; files lost on redeploy/migration; no access control on the public path.</t>
  </si>
  <si>
    <t xml:space="preserve">Move binary storage to SharePoint/R2/S3 behind a storage interface; keep Document.url abstract.</t>
  </si>
  <si>
    <t xml:space="preserve">apps/web/src/app/(app)/files/*, src/lib/storage.ts</t>
  </si>
  <si>
    <t xml:space="preserve">Upload a file, redeploy, confirm it still serves; confirm URL not publicly guessable.</t>
  </si>
  <si>
    <t xml:space="preserve">lib/services</t>
  </si>
  <si>
    <t xml:space="preserve">70 (createStoredFile), 147 (deleteFile)</t>
  </si>
  <si>
    <t xml:space="preserve">Security</t>
  </si>
  <si>
    <t xml:space="preserve">fileService has no auth/role/assignment checks; v1 path creates pending stub rows</t>
  </si>
  <si>
    <t xml:space="preserve">Service validates input but never checks role or ProjectAssignment; createFileMetadata writes url="", pending=true rows with no binary.
[AUDIT VERDICT] fileService has no internal auth (call sites gate it) and carries stub/dead rows: createStoredFile is dead code with zero validation (A3-11); deleteFile removes only the DB row, leaving the binary orphaned and still downloadable (A3-2).</t>
  </si>
  <si>
    <t xml:space="preserve">Any caller reusing the service skips gating; stub rows accumulate.</t>
  </si>
  <si>
    <t xml:space="preserve">Make the service self-guarding (session + assignment check) or document and enforce the trusted-caller boundary; clean pending rows.</t>
  </si>
  <si>
    <t xml:space="preserve">Call service from a route without prior checks; expect deny.</t>
  </si>
  <si>
    <t xml:space="preserve">HH-003</t>
  </si>
  <si>
    <t xml:space="preserve">projects/selections</t>
  </si>
  <si>
    <t xml:space="preserve">apps/web/src/app/(app)/selections/page.tsx</t>
  </si>
  <si>
    <t xml:space="preserve">1-16 (ComingSoon stub)</t>
  </si>
  <si>
    <t xml:space="preserve">Code Quality</t>
  </si>
  <si>
    <t xml:space="preserve">Selections: entire feature is a stub (no write path, no service, no dueDate)</t>
  </si>
  <si>
    <t xml:space="preserve">Page is a ComingSoon placeholder; Selection model fields (status/decidedAt/notes) unused; no selectionService, no server actions; schema lacks dueDate.
[AUDIT VERDICT] Selections is still a 16-line ComingSoon stub; Selection model (schema.prisma:171-181) lacks dueDate/clientVisible/createdAt and no selectionService exists (A6 seed_verdict).</t>
  </si>
  <si>
    <t xml:space="preserve">Roadmap feature blocked; dormant SELECTION_* notification events can never fire.</t>
  </si>
  <si>
    <t xml:space="preserve">Build per Master spec: schema dueDate, selectionService, actions, client-visible flow, budget roll-up.</t>
  </si>
  <si>
    <t xml:space="preserve">packages/db/prisma/schema.prisma, new selectionService.ts, app/(app)/selections/*</t>
  </si>
  <si>
    <t xml:space="preserve">Feature walk as Client + Office roles.</t>
  </si>
  <si>
    <t xml:space="preserve">HH-004</t>
  </si>
  <si>
    <t xml:space="preserve">contracts</t>
  </si>
  <si>
    <t xml:space="preserve">apps/web/src/app/(app)/contracts/page.tsx</t>
  </si>
  <si>
    <t xml:space="preserve">94-127 (convertEstimate, depositPct)</t>
  </si>
  <si>
    <t xml:space="preserve">Correctness</t>
  </si>
  <si>
    <t xml:space="preserve">Contracts: manual record only — no e-sign, deposit never collected, logic lives in page actions</t>
  </si>
  <si>
    <t xml:space="preserve">No e-signature integration; qbInvoiceId never written (deposit recorded, not collected); no contractService — all logic in the two pages' "use server" actions.
[AUDIT VERDICT] Contracts remain page-embedded actions with no e-sign/deposit-collection lifecycle; convertEstimate accepts an unbounded depositPct so negative or &gt;100% deposits are possible (A7-8).</t>
  </si>
  <si>
    <t xml:space="preserve">Legal/cash-flow gap; page-embedded actions dodge the service layer and are hard to gate consistently.</t>
  </si>
  <si>
    <t xml:space="preserve">Extract contractService; wire deposit invoice (QBO — guardrail); e-sign later per decision gate.</t>
  </si>
  <si>
    <t xml:space="preserve">new contractService.ts, contracts pages</t>
  </si>
  <si>
    <t xml:space="preserve">Contract flow end-to-end with deposit path stubbed.</t>
  </si>
  <si>
    <t xml:space="preserve">QuickBooks guardrail</t>
  </si>
  <si>
    <t xml:space="preserve">HH-005</t>
  </si>
  <si>
    <t xml:space="preserve">integrations/quickbooks</t>
  </si>
  <si>
    <t xml:space="preserve">HENLEY_HUB_CONTEXT.md</t>
  </si>
  <si>
    <t xml:space="preserve">125-134 (Secrets pending rotation)</t>
  </si>
  <si>
    <t xml:space="preserve">Secrets</t>
  </si>
  <si>
    <t xml:space="preserve">QBO client ID + secret exposed in earlier chat logs — rotation pending</t>
  </si>
  <si>
    <t xml:space="preserve">Handoff doc says both were exposed in chat logs and still await rotation.
[AUDIT VERDICT] QBO client id + client secret documented as leaked and pending rotation, still unrotated (A11-6, A11 seed_verdict). Runtime reads them from env, not source (A10 seed_verdict), but the committed doc records the exposure.</t>
  </si>
  <si>
    <t xml:space="preserve">Anyone with the transcript can impersonate the app to QBO.</t>
  </si>
  <si>
    <t xml:space="preserve">Rotate in Intuit developer portal; update env on server; never store in repo/docs.</t>
  </si>
  <si>
    <t xml:space="preserve">(env only)</t>
  </si>
  <si>
    <t xml:space="preserve">Old credentials rejected by Intuit after rotation.</t>
  </si>
  <si>
    <t xml:space="preserve">HH-006</t>
  </si>
  <si>
    <t xml:space="preserve">root/git</t>
  </si>
  <si>
    <t xml:space="preserve">125-134 (GitHub PAT in remote URL)</t>
  </si>
  <si>
    <t xml:space="preserve">GitHub PAT embedded in the git remote URL — rotation pending</t>
  </si>
  <si>
    <t xml:space="preserve">Remote URL on the dev machine embeds a PAT per handoff doc.
[AUDIT VERDICT] GitHub PAT embedded in the git remote URL, documented as pending rotation and still unrotated (A11-6, A11 seed_verdict).</t>
  </si>
  <si>
    <t xml:space="preserve">PAT grants repo write to anyone who sees the remote config or logs.</t>
  </si>
  <si>
    <t xml:space="preserve">Revoke PAT; switch to gh auth or a fresh fine-scoped PAT stored in the credential manager.</t>
  </si>
  <si>
    <t xml:space="preserve">(dev machine git config)</t>
  </si>
  <si>
    <t xml:space="preserve">git remote -v shows no token; old PAT revoked on GitHub.</t>
  </si>
  <si>
    <t xml:space="preserve">HH-007</t>
  </si>
  <si>
    <t xml:space="preserve">integrations/quo</t>
  </si>
  <si>
    <t xml:space="preserve">130 (Quo API key)</t>
  </si>
  <si>
    <t xml:space="preserve">Quo API key pasted into chat — rotation pending</t>
  </si>
  <si>
    <t xml:space="preserve">Key was pasted into a chat transcript; new key should live only in QuoConfig.apiKey.
[AUDIT VERDICT] Quo API key leaked and pending rotation; the doc commits its first 6 characters (A11-6, A11 seed_verdict).</t>
  </si>
  <si>
    <t xml:space="preserve">Client-texting API usable by anyone with the transcript.</t>
  </si>
  <si>
    <t xml:space="preserve">Rotate in Quo; store only in QuoConfig; purge from any doc.</t>
  </si>
  <si>
    <t xml:space="preserve">(Quo dashboard + Setting row)</t>
  </si>
  <si>
    <t xml:space="preserve">Old key returns 401.</t>
  </si>
  <si>
    <t xml:space="preserve">HH-008</t>
  </si>
  <si>
    <t xml:space="preserve">assistant</t>
  </si>
  <si>
    <t xml:space="preserve">docs/status/BUILD-STATUS-3.md</t>
  </si>
  <si>
    <t xml:space="preserve">72-73, 112 (Gemini key in transcript)</t>
  </si>
  <si>
    <t xml:space="preserve">Gemini API key leaked into chat transcript — rotation advised, may still be pending</t>
  </si>
  <si>
    <t xml:space="preserve">BUILD-STATUS-3 flags Nick's Gemini key as passed through chat.
[AUDIT VERDICT] Nick's Gemini API key leaked into a committed chat transcript, unrotated (A11-6, A11 seed_verdict). Distinct from the runtime design flaw of passing the key as a URL query param (A2-13, kept as its own row).</t>
  </si>
  <si>
    <t xml:space="preserve">Billable API usable by transcript holders.</t>
  </si>
  <si>
    <t xml:space="preserve">Rotate in Google AI Studio; update Setting/env.</t>
  </si>
  <si>
    <t xml:space="preserve">Old key rejected.</t>
  </si>
  <si>
    <t xml:space="preserve">HH-009</t>
  </si>
  <si>
    <t xml:space="preserve">deploy/db</t>
  </si>
  <si>
    <t xml:space="preserve">deploy/README.md</t>
  </si>
  <si>
    <t xml:space="preserve">106-135 (setup; no backup step)</t>
  </si>
  <si>
    <t xml:space="preserve">No database backup mechanism for the shared live Postgres</t>
  </si>
  <si>
    <t xml:space="preserve">Nick + Arnab share one live Neon DB; only rollback artifact is a dated dev.db SQLite copy. No automated backup/rotation exists.
[AUDIT VERDICT] No pg_dump/cron/snapshot anywhere in deploy docs, workflows, or scripts; live Neon DB holds 451 real clients with no backup mechanism (A11-1, A11 seed_verdict).</t>
  </si>
  <si>
    <t xml:space="preserve">One bad migration or destructive script loses live business data.</t>
  </si>
  <si>
    <t xml:space="preserve">Enable Neon PITR/branch snapshots + nightly pg_dump to offsite storage; document restore drill.</t>
  </si>
  <si>
    <t xml:space="preserve">deploy docs, cron</t>
  </si>
  <si>
    <t xml:space="preserve">Run a restore drill onto a scratch branch.</t>
  </si>
  <si>
    <t xml:space="preserve">auth</t>
  </si>
  <si>
    <t xml:space="preserve">packages/db/prisma/seed.ts</t>
  </si>
  <si>
    <t xml:space="preserve">31 (hashes 'demo')</t>
  </si>
  <si>
    <t xml:space="preserve">Every demo user shares password 'demo'</t>
  </si>
  <si>
    <t xml:space="preserve">All seeded users (CEO through Client roles) authenticate with the literal password 'demo'; prod-build smoke check for absent demo hints was deferred.
[AUDIT VERDICT] seed.ts hashes literal 'demo' for every seeded login; README:39-51 documents all accounts; those 9 User rows plus real-client portal logins were migrated into live Postgres (A1-2, A11-5). See also the inline invite form that still mints 'demo' accounts (kept as a separate live-code row).</t>
  </si>
  <si>
    <t xml:space="preserve">If seeds ever run against prod (shared DB!), every role is open with a one-word password.</t>
  </si>
  <si>
    <t xml:space="preserve">Gate demo credentials to dev; force strong passwords/invite flow in prod; verify seed guard.</t>
  </si>
  <si>
    <t xml:space="preserve">packages/db/prisma/seed.ts, auth flow</t>
  </si>
  <si>
    <t xml:space="preserve">Login with 'demo' fails on prod build.</t>
  </si>
  <si>
    <t xml:space="preserve">HH-011</t>
  </si>
  <si>
    <t xml:space="preserve">root/.github</t>
  </si>
  <si>
    <t xml:space="preserve">.github/workflows/ci.yml</t>
  </si>
  <si>
    <t xml:space="preserve">42-48 (wrong cwd / DATABASE_URL)</t>
  </si>
  <si>
    <t xml:space="preserve">Config/Deploy</t>
  </si>
  <si>
    <t xml:space="preserve">CI never wired — verification is manual only</t>
  </si>
  <si>
    <t xml:space="preserve">Handoff doc lists CI as a to-do (prisma generate + tsc + build on push); repo now contains ci.yml/deploy.yml — confirm whether they actually run.
[AUDIT VERDICT] CI never landed (PAT lacked workflow scope per deploy/README:149-158) and cannot pass as written: prisma generate / tsc run at repo root which has no schema or tsconfig (A11-2, A11 seed_verdict).</t>
  </si>
  <si>
    <t xml:space="preserve">Regressions land unnoticed; 'tsc clean' relies on humans remembering.</t>
  </si>
  <si>
    <t xml:space="preserve">Ensure ci.yml runs on push to the working branch; require green before merge.</t>
  </si>
  <si>
    <t xml:space="preserve">​.github/workflows/ci.yml</t>
  </si>
  <si>
    <t xml:space="preserve">Push a commit; watch the Actions run.</t>
  </si>
  <si>
    <t xml:space="preserve">packages/db</t>
  </si>
  <si>
    <t xml:space="preserve">packages/db/package.json</t>
  </si>
  <si>
    <t xml:space="preserve">14 (db:reset)</t>
  </si>
  <si>
    <t xml:space="preserve">Destructive db:reset (prisma db push --force-reset) reachable against shared live DB</t>
  </si>
  <si>
    <t xml:space="preserve">db:reset wipes and reseeds; docs warn it destroys the QBO connection and live data; a seed guard (SEED_FORCE=1) is claimed — verify it actually blocks Postgres.
[AUDIT VERDICT] db:reset = `prisma db push --force-reset &amp;&amp; db:seed` force-wipes the shared live Neon DB before the seed guard can run (A1-0, A11-0); RUN_LOCAL.md:30 also trains Nick to 'answer y to any drop warning' now targeting the live DB (A11-10).</t>
  </si>
  <si>
    <t xml:space="preserve">One habitual command from either dev nukes the shared database.</t>
  </si>
  <si>
    <t xml:space="preserve">Verify/strengthen seed guard: hard-fail on non-SQLite URL unless SEED_FORCE=1; remove script from prod path.</t>
  </si>
  <si>
    <t xml:space="preserve">packages/db/package.json, seed.ts</t>
  </si>
  <si>
    <t xml:space="preserve">Run db:reset against a Postgres URL; expect refusal.</t>
  </si>
  <si>
    <t xml:space="preserve">app/api/v1</t>
  </si>
  <si>
    <t xml:space="preserve">apps/web/src/lib/services/timeEntryService.ts</t>
  </si>
  <si>
    <t xml:space="preserve">94 (approveTimeEntry)</t>
  </si>
  <si>
    <t xml:space="preserve">v1 approve sets qbReady but never calls pushTimeActivity</t>
  </si>
  <si>
    <t xml:space="preserve">Documented known gap: API-approved time entries are marked ready yet never pushed to QBO; OpenAPI caveat never added.
[AUDIT VERDICT] No longer true: approveTimeEntry now calls pushTimeActivityToQBO and the v1 approve route delegates to it. The live residual risk is the read-then-write idempotency race (double-post), tracked as its own row (A10-0), not a missing push.</t>
  </si>
  <si>
    <t xml:space="preserve">Approved time silently never reaches payroll/accounting.</t>
  </si>
  <si>
    <t xml:space="preserve">Either call the push (guardrail — via existing helper, no edits to it) or document the manual push step in OpenAPI.</t>
  </si>
  <si>
    <t xml:space="preserve">approve route, openapi.json</t>
  </si>
  <si>
    <t xml:space="preserve">Approve via API; confirm TimeActivity appears or caveat documented.</t>
  </si>
  <si>
    <t xml:space="preserve">lib/api</t>
  </si>
  <si>
    <t xml:space="preserve">apps/web/src/lib/api/rateLimit.ts</t>
  </si>
  <si>
    <t xml:space="preserve">12-13 (Maps); idempotency.ts:12-13</t>
  </si>
  <si>
    <t xml:space="preserve">Rate limiter and idempotency cache are in-memory only</t>
  </si>
  <si>
    <t xml:space="preserve">Token bucket and idempotency response cache live in process memory; both reset on restart and shatter under multi-instance deploy.
[AUDIT VERDICT] Rate limit and idempotency both hold state in module-level Maps with TODO comments; restarts reset budgets and drop the replay cache, and there is no cross-instance store — password-reset/login throttling is keyed only by attacker-controlled email (A4-0, A4-1, A4-5, A5-1, A8-3, A2-2). Cache also grows unbounded (lazy eviction).</t>
  </si>
  <si>
    <t xml:space="preserve">Replay protection and abuse limits silently vanish in prod topology.</t>
  </si>
  <si>
    <t xml:space="preserve">Back both with the DB (or Redis when hosting lands); keep interface unchanged (frozen contract).</t>
  </si>
  <si>
    <t xml:space="preserve">rateLimit.ts, idempotency.ts</t>
  </si>
  <si>
    <t xml:space="preserve">Restart server mid-window; limits persist.</t>
  </si>
  <si>
    <t xml:space="preserve">HH-015</t>
  </si>
  <si>
    <t xml:space="preserve">vendors</t>
  </si>
  <si>
    <t xml:space="preserve">apps/web/src/app/(app)/vendors/page.tsx</t>
  </si>
  <si>
    <t xml:space="preserve">19-46 (findMany + compliance counts)</t>
  </si>
  <si>
    <t xml:space="preserve">Vendors page crash reported by Arnab — still open, unreproduced</t>
  </si>
  <si>
    <t xml:space="preserve">Reported page error; page and tsc statically clean; no console output ever supplied.
[AUDIT VERDICT] Could not confirm: page + vendorActions read in full, no crash path found; coiExpiresAt is null-guarded; tsc statically clean. Rejected for lack of evidence — reopen with console/terminal output if it recurs.</t>
  </si>
  <si>
    <t xml:space="preserve">A core directory page may be broken for real users.</t>
  </si>
  <si>
    <t xml:space="preserve">Reproduce with seeded data volume; fix root cause or close with evidence.</t>
  </si>
  <si>
    <t xml:space="preserve">vendors page files</t>
  </si>
  <si>
    <t xml:space="preserve">Load /vendors as each role with full data.</t>
  </si>
  <si>
    <t xml:space="preserve">HH-016</t>
  </si>
  <si>
    <t xml:space="preserve">integrations/jobtread</t>
  </si>
  <si>
    <t xml:space="preserve">apps/web/src/lib/jobtread.ts</t>
  </si>
  <si>
    <t xml:space="preserve">108 (jtQuery), 147 (page-size)</t>
  </si>
  <si>
    <t xml:space="preserve">JobTread sync: 413 page-size ceilings; pre-fix runs may have failed silently</t>
  </si>
  <si>
    <t xml:space="preserve">Pave API rejects large pages (25/50 item ceilings); runs before commit 02823c0 could silently miss customers; second-run zero-diff never verified.
[AUDIT VERDICT] jtQuery is single-shot with no retry/backoff and relies on page-size tuning to avoid Pave 413; a mid-run fetch failure aborts the sync while keeping partial writes (jobtreadSync.ts:706-710), so sync fails silently (A10 seed_verdict; broader no-retry across all integrations kept as row A10-13).</t>
  </si>
  <si>
    <t xml:space="preserve">Sync believed complete may be missing records (~369 customers expected).</t>
  </si>
  <si>
    <t xml:space="preserve">Verify pagination on every query; run sync twice; diff counts vs JobTread.</t>
  </si>
  <si>
    <t xml:space="preserve">jobtread.ts, jobtreadSync.ts</t>
  </si>
  <si>
    <t xml:space="preserve">Second run reports zero new rows; counts match.</t>
  </si>
  <si>
    <t xml:space="preserve">HH-017</t>
  </si>
  <si>
    <t xml:space="preserve">components</t>
  </si>
  <si>
    <t xml:space="preserve">apps/web/src/components/M365Card.tsx</t>
  </si>
  <si>
    <t xml:space="preserve">177 (also QuoCard:197, HenleyTasksCard:151, ApiKeysManager:232/295)</t>
  </si>
  <si>
    <t xml:space="preserve">UI/UX</t>
  </si>
  <si>
    <t xml:space="preserve">.hh-panel backdrop-filter traps position:fixed descendants (latent in 3 cards)</t>
  </si>
  <si>
    <t xml:space="preserve">backdrop-filter creates a containing block; fixed-position children inside these cards anchor to the panel, not the viewport. Known, deliberately unfixed.
[AUDIT VERDICT] Non-portaled fixed-position modals are trapped inside the backdrop-filtered .hh-panel; a backdrop-filter ancestor makes fixed children position relative to the panel, not the viewport (A9-0).</t>
  </si>
  <si>
    <t xml:space="preserve">Dropdowns/modals inside the cards render clipped or misplaced.</t>
  </si>
  <si>
    <t xml:space="preserve">Portal the fixed elements or drop backdrop-filter on affected ancestors (token-safe).</t>
  </si>
  <si>
    <t xml:space="preserve">three card components</t>
  </si>
  <si>
    <t xml:space="preserve">Open each card's overlay on a scrolled page.</t>
  </si>
  <si>
    <t xml:space="preserve">HH-018</t>
  </si>
  <si>
    <t xml:space="preserve">styling</t>
  </si>
  <si>
    <t xml:space="preserve">apps/web/src/app/globals.css</t>
  </si>
  <si>
    <t xml:space="preserve">690-1373 (selector lists audited)</t>
  </si>
  <si>
    <t xml:space="preserve">Comma trap: unescaped commas in Tailwind arbitrary values break the whole PostCSS build</t>
  </si>
  <si>
    <t xml:space="preserve">Documented past pain: one bad arbitrary value kills styling app-wide, silently.
[AUDIT VERDICT] Audited every selector list; all selectors are valid CSS and no rule is killed by a bad member — the Tailwind/CSS comma trap is not present (A9 seed_verdict).</t>
  </si>
  <si>
    <t xml:space="preserve">A single class typo takes down the entire UI's styles.</t>
  </si>
  <si>
    <t xml:space="preserve">Grep for risky arbitrary values; add a lint rule or stylelint check to CI.</t>
  </si>
  <si>
    <t xml:space="preserve">globals.css, CI config</t>
  </si>
  <si>
    <t xml:space="preserve">Introduce a test violation locally; lint catches it.</t>
  </si>
  <si>
    <t xml:space="preserve">HH-019</t>
  </si>
  <si>
    <t xml:space="preserve">Agent-found</t>
  </si>
  <si>
    <t xml:space="preserve">crm+money pages</t>
  </si>
  <si>
    <t xml:space="preserve">apps/web/src/app/(app)/crm/[id]/page.tsx; apps/web/src/app/(app)/clients/[id]/page.tsx; apps/web/src/app/(app)/estimates/[id]/page.tsx; apps/web/src/app/(app)/crm/page.tsx; apps/web/src/app/(app)/estimates/new/page.tsx; apps/web/src/app/(app)/schedule/page.tsx</t>
  </si>
  <si>
    <t xml:space="preserve">crm/[id]:131 · clients/[id]:160/198 · estimates/[id]:14 · crm/page:18 · estimates/new:30 · schedule/page:19-45</t>
  </si>
  <si>
    <t xml:space="preserve">Data Isolation</t>
  </si>
  <si>
    <t xml:space="preserve">Detail/list pages render financials &amp; cross-client PII with no read gate</t>
  </si>
  <si>
    <t xml:space="preserve">The CRM deal detail, client record, estimate detail, sales pipeline board, new-estimate, and /schedule pages all fetch and render other projects' contract values, estimate totals, and client PII without any canViewAllProjects/role gate. Middleware only enforces login, so any authenticated CLIENT/SUB/FIELD user who types the URL reads financials and every customer's data. List pages gate; their sibling detail pages do not.
[regraded A6-1 S2-&gt;S1 (folded into S1 cross-project read leak)]
[Also reported by: A6 — 6 findings merged]</t>
  </si>
  <si>
    <t xml:space="preserve">Clients must never see financials or other clients' data; this is the Master's core promise and the only defense (page-level gating) is absent on these surfaces.</t>
  </si>
  <si>
    <t xml:space="preserve">Add the same auth()+canViewAllProjects(role) gate the list pages use at the top of each page (return notFound()/denial for other roles); for CLIENT scope queries to their own clientId.</t>
  </si>
  <si>
    <t xml:space="preserve">As a CLIENT/SUB/FIELD demo user request /crm/&lt;id&gt;, /clients/&lt;id&gt;, /estimates/&lt;id&gt;, /crm, /schedule — expect denial or own-data only.</t>
  </si>
  <si>
    <t xml:space="preserve">HH-020</t>
  </si>
  <si>
    <t xml:space="preserve">apps/web/src/app/(app)/inbox/page.tsx</t>
  </si>
  <si>
    <t xml:space="preserve">inbox/page.tsx:118-129 (activeThread findUnique)</t>
  </si>
  <si>
    <t xml:space="preserve">Inbox thread IDOR — active thread fetch bypasses the role-scoped where clause</t>
  </si>
  <si>
    <t xml:space="preserve">The thread list is scoped by buildWhere(), but the active conversation loads via prisma.thread.findUnique({where:{id:activeId}}) using the client-supplied ?threadId directly. A CLIENT/SUB can pass any thread id and read another client's full email/SMS history.</t>
  </si>
  <si>
    <t xml:space="preserve">Role scoping exists but is skipped for exactly the query that returns full message bodies; a client-supplied id is trusted without ownership check.</t>
  </si>
  <si>
    <t xml:space="preserve">Fetch the active thread with findFirst applying the same buildWhere role constraints, returning null on no match.</t>
  </si>
  <si>
    <t xml:space="preserve">As CLIENT A request /inbox?threadId=&lt;B's thread&gt;; pane must show empty state, not B's messages.</t>
  </si>
  <si>
    <t xml:space="preserve">HH-021</t>
  </si>
  <si>
    <t xml:space="preserve">projects+jobs</t>
  </si>
  <si>
    <t xml:space="preserve">apps/web/src/app/(app)/projects/new/page.tsx; apps/web/src/app/(app)/clients/new/page.tsx; apps/web/src/app/(app)/vendors/vendorActions.ts</t>
  </si>
  <si>
    <t xml:space="preserve">projects/new/page.tsx:15-58 · clients/new/page.tsx:6-22 · vendors/vendorActions.ts:103/125</t>
  </si>
  <si>
    <t xml:space="preserve">Server actions/pages mutate and leak data with no auth() check</t>
  </si>
  <si>
    <t xml:space="preserve">The New Job page never calls auth() — it renders the full client list to any role and its inline create action writes prisma.project.create with arbitrary clientId/contract cents. The new-lead create action and the vendor listExpiringCoi/listMissingW9 'use server' exports likewise perform no session/role check, so any authenticated user (or crafted Next-Action POST) can create records or read vendor compliance data.
[regraded A7-6/A7-7 S2-&gt;S1 (folded; New-Job client-list leak drives S1)]
[Also reported by: A7 — 3 findings merged]</t>
  </si>
  <si>
    <t xml:space="preserve">Every other mutation checks session+role; these check neither. New Job additionally leaks every client's name to CLIENT (cross-client read), and dead-but-live 'use server' exports get invokable action IDs.</t>
  </si>
  <si>
    <t xml:space="preserve">Add auth()+canViewAllProjects(role) at the top of each page render and re-check inside every create action before any query; delete the unused vendor list actions or gate them with the same isManager check as the CRUD actions above them.</t>
  </si>
  <si>
    <t xml:space="preserve">As CLIENT open /projects/new and /clients/new — expect redirect and no row created; confirm vendor actions reject non-managers.</t>
  </si>
  <si>
    <t xml:space="preserve">HH-022</t>
  </si>
  <si>
    <t xml:space="preserve">cross-cutting</t>
  </si>
  <si>
    <t xml:space="preserve">apps/web/src/app/(app)/projects/[id]/changeOrderActions.ts; apps/web/src/app/(app)/projects/[id]/timeActions.ts; apps/web/src/app/(app)/inbox/inboxActions.ts; apps/web/src/app/(app)/projects/[id]/page.tsx</t>
  </si>
  <si>
    <t xml:space="preserve">changeOrderActions.ts:25-66 · projects/[id]/timeActions.ts:10-42 · inbox/inboxActions.ts:16-23 · projects/[id]/page.tsx:222-232</t>
  </si>
  <si>
    <t xml:space="preserve">Field/Sub-reachable mutations skip ProjectAssignment; the one correct pattern was never extracted</t>
  </si>
  <si>
    <t xml:space="preserve">changeOrderActions holds the app's only complete server-action authz pattern (role → ProjectAssignment fallback → CLIENT ownership+clientVisible). ProjectAssignment is consulted in only three files app-wide. Every other Field/Sub-reachable mutation skips it: clockInAction accepts any projectId, replyToThread lets FIELD reply to any thread, updateMilestone trusts a form-supplied milestone id with no project scoping — so a worker can act on projects they aren't assigned to.
[regraded A0-5 S3-&gt;S2, A7-10 S3-&gt;S2 (unified as missing-authz-on-mutation)]
[Also reported by: A6, A7 — 4 findings merged]</t>
  </si>
  <si>
    <t xml:space="preserve">Fixing holes one-off leaves the next action to repeat the mistake; correct code exists and only needs hoisting to a shared requireProjectAccess helper.</t>
  </si>
  <si>
    <t xml:space="preserve">Extract internalForProject/deciderForChangeOrder into lib/access.ts as requireProjectAccess(user, projectId); call it from clockInAction, replyToThread (resolve thread→project first), and updateMilestone.</t>
  </si>
  <si>
    <t xml:space="preserve">apps/web/src/lib/roles.ts; apps/web/src/app/(app)/inbox/inboxActions.ts; apps/web/src/app/(app)/projects/[id]/page.tsx; apps/web/src/app/(app)/projects/[id]/changeOrderActions.ts; apps/web/src/app/(app)/projects/[id]/timeActions.ts</t>
  </si>
  <si>
    <t xml:space="preserve">As FIELD assigned to project A, invoke clockInAction/replyToThread/updateMilestone against project B → Not authorized, no row written.</t>
  </si>
  <si>
    <t xml:space="preserve">HH-023</t>
  </si>
  <si>
    <t xml:space="preserve">apps/web/src/lib/services/milestoneService.ts; apps/web/src/app/(app)/projects/[id]/page.tsx</t>
  </si>
  <si>
    <t xml:space="preserve">milestoneService.ts:43 · projects/[id]/page.tsx:127/375-398</t>
  </si>
  <si>
    <t xml:space="preserve">Milestone clientVisible flag is non-functional end-to-end</t>
  </si>
  <si>
    <t xml:space="preserve">createMilestone defaults clientVisible to true (opposite of every sibling service), and the project detail page renders all project.milestones to CLIENT with no clientVisible filter (the client dashboard does filter). Internal-only milestones ('chase sub for deficiency', 'hold invoice') are exposed to the client.
[regraded A3-8 S4-&gt;S2 (folded into the compound client-exposure)]
[Also reported by: A3, A6 — 3 findings merged]</t>
  </si>
  <si>
    <t xml:space="preserve">The Master promises clients see only client-visible milestones; today the mark defaults on and the main surface ignores it.</t>
  </si>
  <si>
    <t xml:space="preserve">Default clientVisible to input.clientVisible ?? false, and filter the detail-page render for CLIENT the same way dailyLogs already are.</t>
  </si>
  <si>
    <t xml:space="preserve">Create a milestone without clientVisible → false in DB; as the project's client it is absent from dashboard and detail until toggled visible.</t>
  </si>
  <si>
    <t xml:space="preserve">HH-024</t>
  </si>
  <si>
    <t xml:space="preserve">settings+auth</t>
  </si>
  <si>
    <t xml:space="preserve">apps/web/src/app/(app)/settings/page.tsx</t>
  </si>
  <si>
    <t xml:space="preserve">settings/page.tsx:369-396/659-687/691 (inline inviteUser + dual forms)</t>
  </si>
  <si>
    <t xml:space="preserve">Inline invite form mints 'demo'-password production accounts beside the secure flow</t>
  </si>
  <si>
    <t xml:space="preserve">Settings→Team renders two invite UIs back to back: the top form calls an inline inviteUser that creates a live User (any role incl CEO/OFFICE) with bcrypt.hash('demo',10), prints the temporary password on screen, and requires no password change or verification. Directly below it, the hardened token-based InvitePanel (lib/actions/auth.ts) does it correctly. Nick will use whichever is on top.
[Also reported by: A0 — 2 findings merged]</t>
  </si>
  <si>
    <t xml:space="preserve">'demo' is publicly documented (README, sign-in hint, landing page); with auth.ts having no active/env gate, every account minted this way is takeover-able until the user manually changes the password.</t>
  </si>
  <si>
    <t xml:space="preserve">Delete the inline inviteUser action and its form block; leave the token-based InvitePanel as the only invite path.</t>
  </si>
  <si>
    <t xml:space="preserve">apps/web/src/app/(app)/settings/page.tsx; apps/web/src/components/settings/InvitePanel.tsx</t>
  </si>
  <si>
    <t xml:space="preserve">Settings#team shows exactly one invite form; inviting creates an Invite row with tokenHash and no User until acceptance; email+'demo' fails for new invitees.</t>
  </si>
  <si>
    <t xml:space="preserve">HH-025</t>
  </si>
  <si>
    <t xml:space="preserve">apps/web/src/app/page.tsx</t>
  </si>
  <si>
    <t xml:space="preserve">5-11 (ROLES const) and 186-199 (details render)</t>
  </si>
  <si>
    <t xml:space="preserve">Public landing page advertises the five demo account emails whose shared password is 'demo'</t>
  </si>
  <si>
    <t xml:space="preserve">The unauthenticated landing page hardcodes and renders the five demo login emails (kyle@henleyhub.com, morgan@henleyhub.com, jess@henleyhub.com, tile-pro@subs.com, rachel.t@example.com) in a 'Role access — what each login sees' disclosure. A11 established these accounts exist in the real shared Neon DB with password 'demo' (README.md:39-51), and A8 established the invite flow keeps minting 'demo'-password accounts. No single folder agent saw the full chain: the landing page publishes the usernames, the README publishes the password, and the accounts are live — an unauthenticated visitor can log in as CEO in three clicks. The same email list is duplicated in apps/web/src/components/DemoRoleSwitcher.tsx:6-12 (that one is gated behind Settings). The page also runs unauthenticated prisma.project.count/prisma.user.count (lines 22-27), leaking org stats pre-login.</t>
  </si>
  <si>
    <t xml:space="preserve">Completes a working credential-stuffing recipe against the production CEO account. This is the missing link that upgrades A8/A11's 'demo password' findings from hygiene to an exploitable chain.</t>
  </si>
  <si>
    <t xml:space="preserve">Delete the ROLES const and the role-access &lt;details&gt; block from app/page.tsx; remove or rotate the five demo accounts in the live DB (or set active=false once auth.ts honors it per A8); drop the unauthenticated prisma counts or replace with static copy.</t>
  </si>
  <si>
    <t xml:space="preserve">Load / while signed out: no account emails and no live DB stats render; attempt login with kyle@henleyhub.com / demo fails.</t>
  </si>
  <si>
    <t xml:space="preserve">HH-026</t>
  </si>
  <si>
    <t xml:space="preserve">apps/web/src/auth.ts</t>
  </si>
  <si>
    <t xml:space="preserve">32-35 (authorize)</t>
  </si>
  <si>
    <t xml:space="preserve">Sign-in ignores user.active — deactivated users can still log in</t>
  </si>
  <si>
    <t xml:space="preserve">Credentials authorize() looks up the user and compares the password but never checks user.active. The Deactivate control in Settings (toggleActive, settings/page.tsx:422) flips User.active, but a deactivated user can still sign in with their old password and get a fresh 30-day JWT.</t>
  </si>
  <si>
    <t xml:space="preserve">Deactivation is the app's only offboarding mechanism (there is no delete). An offboarded FIELD/SUB/OFFICE user retains full role access to projects, CRM and financials indefinitely. requestPasswordReset already checks user.active (lib/actions/auth.ts:153), so the codebase clearly intends active to gate access.</t>
  </si>
  <si>
    <t xml:space="preserve">In authorize(), after the bcrypt compare add: if (!user.active) return null. Optionally surface a distinct error on the sign-in page.</t>
  </si>
  <si>
    <t xml:space="preserve">Deactivate a test user in Settings, sign out, attempt sign-in with their valid credentials — expect rejection.</t>
  </si>
  <si>
    <t xml:space="preserve">HH-027</t>
  </si>
  <si>
    <t xml:space="preserve">apps/web/src/auth.config.ts</t>
  </si>
  <si>
    <t xml:space="preserve">9-17 (jwt callback)</t>
  </si>
  <si>
    <t xml:space="preserve">JWT role/active never revalidated — role changes and deactivation don't propagate for up to 30 days</t>
  </si>
  <si>
    <t xml:space="preserve">The jwt callback copies id/role/clientId into the token only when `user` is present (initial sign-in) and never refreshes from the DB. Sessions use the NextAuth default 30-day maxAge. So a role downgrade (updateUser, settings/page.tsx:397), deactivation, or password reset leaves every existing JWT fully privileged until it expires. profile/page.tsx:176 acknowledges this ('JWT sessions cannot be revoked individually yet').</t>
  </si>
  <si>
    <t xml:space="preserve">Every authz check in the app (canManageTeam, canSeeFinancials, clientId scoping) trusts token.role/token.clientId. A CLIENT whose clientId is reassigned, or an employee demoted from CEO, keeps the old claims for the token lifetime — server-side gating is effectively bypassable by holding an old cookie.</t>
  </si>
  <si>
    <t xml:space="preserve">Add a lightweight revalidation: store a tokenVersion (or updatedAt) on User; in the Node-side auth() path (not the edge middleware — Prisma can't run there with the split config) re-read role/active/clientId when the token is older than ~5 minutes and reject if version mismatches. Also set session.maxAge explicitly (e.g. 7 days).</t>
  </si>
  <si>
    <t xml:space="preserve">apps/web/src/auth.config.ts; apps/web/src/auth.ts; packages/db/prisma/schema.prisma</t>
  </si>
  <si>
    <t xml:space="preserve">Change a signed-in test user's role in Settings; within the revalidation window their session should reflect the new role (or be signed out) without waiting for token expiry.</t>
  </si>
  <si>
    <t xml:space="preserve">HH-028</t>
  </si>
  <si>
    <t xml:space="preserve">apps/web/src/lib/services/dailyLogService.ts</t>
  </si>
  <si>
    <t xml:space="preserve">dailyLogService.ts:52-63 (createDailyLog)</t>
  </si>
  <si>
    <t xml:space="preserve">createDailyLog silently drops all six P7 structured fields</t>
  </si>
  <si>
    <t xml:space="preserve">CreateDailyLogInput declares anticipatedDelays, materialDeliveries, safetyIncidents, tradesOnsite, unplannedTasks, internalNotes and the v1 route validates/forwards them, but the prisma.dailyLog.create data block never writes any of them though the columns exist. An API caller logging a safety incident gets a 201 and the text is silently discarded.
[regraded A5-0 S3-&gt;S2 (data-loss on safety records)]
[Also reported by: A5 — 2 findings merged]</t>
  </si>
  <si>
    <t xml:space="preserve">Safety-incident records are exactly what a contractor cannot afford to lose, and the loss is invisible because the response echoes the input.</t>
  </si>
  <si>
    <t xml:space="preserve">Add the six fields to the create data block (booleans default false, text trimmed to null).</t>
  </si>
  <si>
    <t xml:space="preserve">POST /api/v1/daily-logs with safetyIncidents set, read the row back, confirm it persisted.</t>
  </si>
  <si>
    <t xml:space="preserve">HH-029</t>
  </si>
  <si>
    <t xml:space="preserve">integrations</t>
  </si>
  <si>
    <t xml:space="preserve">apps/web/src/app/(app)/integrations/quickbooks/pushTimeActivity.ts</t>
  </si>
  <si>
    <t xml:space="preserve">27 (pushTimeActivityToQBO idempotency check)</t>
  </si>
  <si>
    <t xml:space="preserve">QBO TimeActivity push idempotency is read-then-write; concurrent approvals double-post hours</t>
  </si>
  <si>
    <t xml:space="preserve">The only duplicate guard is `if (entry.qbTimeActivityId) return` read at the top of the function. Two concurrent invocations (double-clicked approve button, or the UI approve flow in projects/[id]/timeActions.ts:114 racing the v1 API path in lib/services/timeEntryService.ts:94) both read qbTimeActivityId as null, both POST to QBO, and the second update overwrites the first qbId — leaving an orphan TimeActivity in QuickBooks.</t>
  </si>
  <si>
    <t xml:space="preserve">Duplicate TimeActivity rows in QBO inflate payroll hours and job costs in the system of record (QuickBooks), and the orphan is invisible to the Hub so nobody knows to delete it.</t>
  </si>
  <si>
    <t xml:space="preserve">Claim the entry atomically before posting: `updateMany({ where: { id, qbTimeActivityId: null, qbPushing: false }, data: { qbPushing: true } })` and bail when count === 0 (or set qbTimeActivityId to a sentinel via the same conditional updateMany, clearing it on failure). Since this file is a QuickBooks guardrail file, this is a described fix only — not proposed as a direct edit.</t>
  </si>
  <si>
    <t xml:space="preserve">apps/web/src/app/(app)/integrations/quickbooks/pushTimeActivity.ts; packages/db/prisma/schema.prisma</t>
  </si>
  <si>
    <t xml:space="preserve">Fire two concurrent approveTimeEntry calls for the same clocked-out entry against QBO sandbox; confirm exactly one TimeActivity is created and both callers return the same qbId.</t>
  </si>
  <si>
    <t xml:space="preserve">HH-030</t>
  </si>
  <si>
    <t xml:space="preserve">apps/web/src/lib/services/timeEntryService.ts; apps/web/src/app/(app)/projects/[id]/timeActions.ts</t>
  </si>
  <si>
    <t xml:space="preserve">timeEntryService.ts:88-97 · projects/[id]/timeActions.ts:104-117</t>
  </si>
  <si>
    <t xml:space="preserve">Time-entry approval persists even when the QBO push fails</t>
  </si>
  <si>
    <t xml:space="preserve">approveTimeEntry marks the entry approved+qbReady and then pushes to QBO; on push failure the service throws (API 500) but the approval row is already committed, and the UI approveTimeEntryAction swallows the failure entirely — leaving entries approved in the Hub but never posted to QuickBooks, with no retry surface.
[regraded A6-6 S2-&gt;S3 (recoverable state drift, not corruption)]
[Also reported by: A6 — 2 findings merged]</t>
  </si>
  <si>
    <t xml:space="preserve">QuickBooks is the payroll/job-cost system of record; a silently unpushed-but-approved entry drifts the two systems with no operator signal.</t>
  </si>
  <si>
    <t xml:space="preserve">Order the write after a successful push (or record a push-pending state and a retry job); surface UI failures instead of swallowing them.</t>
  </si>
  <si>
    <t xml:space="preserve">apps/web/src/lib/services/timeEntryService.ts; apps/web/src/app/api/v1/time-entries/[id]/approve/route.ts; apps/web/src/app/(app)/projects/[id]/timeActions.ts</t>
  </si>
  <si>
    <t xml:space="preserve">Force a QBO push failure on approve; entry should not read as fully approved-and-synced, and the operator should see the error.</t>
  </si>
  <si>
    <t xml:space="preserve">HH-031</t>
  </si>
  <si>
    <t xml:space="preserve">apps/web/src/lib/services/estimateService.ts</t>
  </si>
  <si>
    <t xml:space="preserve">estimateService.ts:62-63 (createEstimate numbering)</t>
  </si>
  <si>
    <t xml:space="preserve">Estimate/contract numbers derived from count() race @unique and break after deletion</t>
  </si>
  <si>
    <t xml:space="preserve">Estimate/contract numbers are generated from a row count(), so concurrent creates collide against the @unique constraint (hard 500) and any prior deletion reuses an existing number.
[Also reported by: A5, A7 — 3 findings merged]</t>
  </si>
  <si>
    <t xml:space="preserve">Concurrent estimate creation is normal office behavior; a unique-constraint failure surfaces as an opaque error and blocks the user.</t>
  </si>
  <si>
    <t xml:space="preserve">Use a dedicated sequence/counter row incremented in a transaction (or a DB sequence), not count().</t>
  </si>
  <si>
    <t xml:space="preserve">apps/web/src/lib/services/estimateService.ts; apps/web/src/lib/services/changeOrderService.ts; apps/web/src/app/(app)/contracts/page.tsx</t>
  </si>
  <si>
    <t xml:space="preserve">Fire two concurrent createEstimate calls; both succeed with distinct numbers.</t>
  </si>
  <si>
    <t xml:space="preserve">HH-032</t>
  </si>
  <si>
    <t xml:space="preserve">app/api</t>
  </si>
  <si>
    <t xml:space="preserve">timeEntryService.ts:56-61 (createTimeEntry)</t>
  </si>
  <si>
    <t xml:space="preserve">clockOut earlier than clockIn is accepted and coerced to 0.01 hours</t>
  </si>
  <si>
    <t xml:space="preserve">createTimeEntry accepts a clockOut before clockIn and masks the negative duration as 0.01 hours instead of rejecting it, feeding bad hours into approval and the QBO TimeActivity push.
[regraded A3-9 S4-&gt;S3 (A0 cross-cut: feeds payroll, S3 is correct)]
[Also reported by: A3 — 2 findings merged]</t>
  </si>
  <si>
    <t xml:space="preserve">Garbage durations flow into payroll/job costing; the coercion hides the error rather than surfacing it.</t>
  </si>
  <si>
    <t xml:space="preserve">Validate clockOut &gt; clockIn and reject otherwise.</t>
  </si>
  <si>
    <t xml:space="preserve">createTimeEntry with clockOut&lt;clockIn → validation error, no row.</t>
  </si>
  <si>
    <t xml:space="preserve">HH-033</t>
  </si>
  <si>
    <t xml:space="preserve">apps/web/src/lib/notifications/templates.ts</t>
  </si>
  <si>
    <t xml:space="preserve">notifications/templates.ts:51 (unsubscribeToken)</t>
  </si>
  <si>
    <t xml:space="preserve">Unsubscribe HMAC falls back to a hardcoded secret when NEXTAUTH_SECRET is unset</t>
  </si>
  <si>
    <t xml:space="preserve">The unsubscribe token HMAC uses process.env.NEXTAUTH_SECRET ?? 'henley-hub-unsub', so if the env var is missing the signing key is a public constant anyone can forge.
[regraded A2-10 S4-&gt;S3 (A0 cross-cut: fallback weakens an auth token)]
[Also reported by: A2 — 2 findings merged]</t>
  </si>
  <si>
    <t xml:space="preserve">A weak/known key silently degrades an auth token; forgeable unsubscribe links can suppress notifications for arbitrary recipients.</t>
  </si>
  <si>
    <t xml:space="preserve">Require NEXTAUTH_SECRET (throw on missing) and never fall back to a literal.</t>
  </si>
  <si>
    <t xml:space="preserve">apps/web/src/lib/notifications/templates.ts; apps/web/src/app/unsubscribe/page.tsx</t>
  </si>
  <si>
    <t xml:space="preserve">Unset NEXTAUTH_SECRET → app refuses to sign rather than using the constant.</t>
  </si>
  <si>
    <t xml:space="preserve">HH-034</t>
  </si>
  <si>
    <t xml:space="preserve">lib core</t>
  </si>
  <si>
    <t xml:space="preserve">apps/web/src/lib/utils.ts</t>
  </si>
  <si>
    <t xml:space="preserve">utils.ts:8-14 (formatMoney)</t>
  </si>
  <si>
    <t xml:space="preserve">Money formatting hardcodes USD/en-US and rounds to whole dollars; four conflicting formatters exist</t>
  </si>
  <si>
    <t xml:space="preserve">formatMoney hardcodes USD and maximumFractionDigits:0, rounding cents away, on an Ontario (CAD) app; three other divergent money formatters across lib/ and components use conflicting currency/locale.
[regraded A0-7 S4-&gt;S3 (wrong currency/rounding on financial edge)]
[Also reported by: A0 — 2 findings merged]</t>
  </si>
  <si>
    <t xml:space="preserve">Displayed contract and estimate values are wrong currency and lose cents, undermining trust in every financial screen.</t>
  </si>
  <si>
    <t xml:space="preserve">Consolidate to one formatter using CAD/en-CA with 2 fraction digits; format only at the UI edge.</t>
  </si>
  <si>
    <t xml:space="preserve">apps/web/src/lib/utils.ts; apps/web/src/app/(app)/templates/TemplatesClient.tsx; apps/web/src/components/dashboard/Charts.tsx; apps/web/src/components/CountUp.tsx</t>
  </si>
  <si>
    <t xml:space="preserve">Render a $1,234.56 value → shows CA$1,234.56, not $1,235.</t>
  </si>
  <si>
    <t xml:space="preserve">HH-035</t>
  </si>
  <si>
    <t xml:space="preserve">apps/web/src/lib/actions/catalog.ts</t>
  </si>
  <si>
    <t xml:space="preserve">152 (taxRate = estimate.taxCents / estimate.subtotalCents)</t>
  </si>
  <si>
    <t xml:space="preserve">addEstimateLine recomputes tax from a float ratio instead of a stored rate</t>
  </si>
  <si>
    <t xml:space="preserve">The effective tax rate is reverse-derived as taxCents/subtotalCents (a float polluted by earlier rounding), then newTax = Math.round(newSubtotal * taxRate). There is no stored tax-rate field consulted (Project.taxRateBps exists — see actions/location.ts setProjectTaxRate — but is unused here). A zero-subtotal estimate also collapses the rate to 0, so the first line added to an estimate created with tax pre-set gets no tax.</t>
  </si>
  <si>
    <t xml:space="preserve">Tax drifts by cents per added line and can diverge from the intended 13% HST; totals on client-facing estimates become subtly wrong and unreproducible.</t>
  </si>
  <si>
    <t xml:space="preserve">Store the tax rate in bps on Estimate (or read the project's taxRateBps) and compute taxCents = Math.round(subtotalCents * rateBps / 10000) from integers each time.</t>
  </si>
  <si>
    <t xml:space="preserve">apps/web/src/lib/actions/catalog.ts; packages/db/prisma/schema.prisma</t>
  </si>
  <si>
    <t xml:space="preserve">Create an estimate at 13% tax, add 10 odd-priced lines, and assert taxCents === round(subtotal * 0.13) exactly after each add.</t>
  </si>
  <si>
    <t xml:space="preserve">HH-036</t>
  </si>
  <si>
    <t xml:space="preserve">packages/db/prisma/seed-bt.ts; apps/web/src/lib/services/projectService.ts; apps/web/src/app/page.tsx</t>
  </si>
  <si>
    <t xml:space="preserve">seed-bt.ts:126-139 · projectService.ts:76/82-93 · page.tsx:24</t>
  </si>
  <si>
    <t xml:space="preserve">Validation</t>
  </si>
  <si>
    <t xml:space="preserve">JOB_STATUS vocabulary is not enforced — seeds, v1 API, and the landing counter all diverge</t>
  </si>
  <si>
    <t xml:space="preserve">Project.status has a taxonomy validator but nothing enforces it: seeds write out-of-vocab values (CLOSING/FINISHING/PERMITTING/DESIGN), the v1 create/update API accepts any arbitrary string, and the landing 'Active projects' counter filters on five statuses not in the canonical vocabulary (so it can silently read zero).
[regraded A0-6 S4-&gt;S3 (folded into the vocabulary-drift root)]
[Also reported by: A5, A0 — 3 findings merged]</t>
  </si>
  <si>
    <t xml:space="preserve">With no DB enum on the string column, the validated vocabulary is only advisory; divergent values break filters, counters, and any status-driven logic.</t>
  </si>
  <si>
    <t xml:space="preserve">Validate status against JOB_STATUS in projectService writes and in seeds; align the landing-page filter to canonical values.</t>
  </si>
  <si>
    <t xml:space="preserve">packages/db/prisma/seed.ts; packages/db/prisma/seed-real-data.ts; packages/db/prisma/seed-bt.ts; apps/web/src/lib/services/projectService.ts; apps/web/src/app/page.tsx; apps/web/src/app/(app)/projects/page.tsx</t>
  </si>
  <si>
    <t xml:space="preserve">POST an invalid status via v1 → rejected; seed run produces only canonical statuses; landing counter matches reality.</t>
  </si>
  <si>
    <t xml:space="preserve">HH-037</t>
  </si>
  <si>
    <t xml:space="preserve">packages/db/prisma/schema.prisma; apps/web/src/lib/services/clientService.ts</t>
  </si>
  <si>
    <t xml:space="preserve">schema.prisma:60 (Client.stage) · clientService.ts:48</t>
  </si>
  <si>
    <t xml:space="preserve">Client.stage has no validating helper; three divergent vocabularies coexist</t>
  </si>
  <si>
    <t xml:space="preserve">Client.stage is a free-text passthrough in clientService with no validator anywhere, and three different stage vocabularies coexist across the codebase, breaking the validated-strings convention the project mandates in lieu of DB enums.
[regraded A3-10 S4-&gt;S3 (folded with schema-level finding)]
[Also reported by: A3 — 2 findings merged]</t>
  </si>
  <si>
    <t xml:space="preserve">Unvalidated stage strings drift, breaking pipeline filtering and any stage-driven behavior.</t>
  </si>
  <si>
    <t xml:space="preserve">Add a CLIENT_STAGE helper and validate in createClient/updateClient; reconcile to one vocabulary.</t>
  </si>
  <si>
    <t xml:space="preserve">apps/web/src/lib/taxonomy.ts; apps/web/src/app/(app)/clients/page.tsx; packages/db/prisma/schema.prisma; packages/db/prisma/seed.ts; packages/db/prisma/seed-real-data.ts; packages/db/prisma/seed-bt.ts; apps/web/src/lib/services/clientService.ts</t>
  </si>
  <si>
    <t xml:space="preserve">Setting an out-of-vocab stage is rejected; existing rows normalize to the canonical set.</t>
  </si>
  <si>
    <t xml:space="preserve">HH-038</t>
  </si>
  <si>
    <t xml:space="preserve">apps/web/src/lib/services/dashboardService.ts; apps/web/src/app/(app)/files/page.tsx; apps/web/src/app/(app)/financials/page.tsx</t>
  </si>
  <si>
    <t xml:space="preserve">dashboardService.ts:87 · files/page.tsx:63-80 · financials/page.tsx:16-19</t>
  </si>
  <si>
    <t xml:space="preserve">Performance</t>
  </si>
  <si>
    <t xml:space="preserve">Full-table / unbounded findMany loads on dashboard, files, and financials</t>
  </si>
  <si>
    <t xml:space="preserve">The dashboard loads whole tables into memory on a fragile count() workaround; the Files page loads every project with every matching document unbounded; the financials rollup loads every project with all budget items. None apply take/pagination.
[Also reported by: A6, A7 — 3 findings merged]</t>
  </si>
  <si>
    <t xml:space="preserve">As real data grows (451 clients already in prod) these pages degrade and can exhaust memory; the dashboard's count() workaround is also internally inconsistent.</t>
  </si>
  <si>
    <t xml:space="preserve">Add take/pagination or DB-side aggregation (groupBy/sum) to each; cap unbounded scans.</t>
  </si>
  <si>
    <t xml:space="preserve">Seed thousands of rows; confirm these pages stay bounded and paginate.</t>
  </si>
  <si>
    <t xml:space="preserve">HH-039</t>
  </si>
  <si>
    <t xml:space="preserve">apps/web/src/lib/actions/jobtreadSync.ts; apps/web/src/lib/quo.ts</t>
  </si>
  <si>
    <t xml:space="preserve">actions/jobtreadSync.ts:200-207 · lib/quo.ts:138-147</t>
  </si>
  <si>
    <t xml:space="preserve">Integration sync runs N+1 per-record queries and full-table client scans</t>
  </si>
  <si>
    <t xml:space="preserve">JobTread sync issues 2-4 prisma queries per remote record across every entity (clients, vendors, jobs, daily logs, catalog); Quo's linkClientByPhone loads every client row and normalizes phones in JS once per new conversation.
[Also reported by: A10 — 2 findings merged]</t>
  </si>
  <si>
    <t xml:space="preserve">Sync time scales with row count x record count; large syncs become slow and hammer the DB.</t>
  </si>
  <si>
    <t xml:space="preserve">Batch lookups (findMany with an in-list keyed map) before the loop; index/normalize phones in the DB for phone matching.</t>
  </si>
  <si>
    <t xml:space="preserve">apps/web/src/lib/actions/jobtreadSync.ts; apps/web/src/lib/quo.ts; packages/db/prisma/schema.prisma</t>
  </si>
  <si>
    <t xml:space="preserve">Sync a large dataset and confirm query count is bounded, not linear in records.</t>
  </si>
  <si>
    <t xml:space="preserve">HH-040</t>
  </si>
  <si>
    <t xml:space="preserve">packages/db/prisma/schema.prisma</t>
  </si>
  <si>
    <t xml:space="preserve">253-266 (Message) and other child models</t>
  </si>
  <si>
    <t xml:space="preserve">Hot foreign-key columns have no indexes — Postgres does not auto-index FKs</t>
  </si>
  <si>
    <t xml:space="preserve">Frequently filtered FK columns lack @@index: Message.threadId, Milestone.projectId (159), DailyLog.projectId/authorId (198-201), BudgetItem.projectId (185), Selection.projectId (173), Document.projectId (222), Thread.clientId/projectId (239-242), EstimateLine.estimateId (290), Estimate.clientId (270), Contract.clientId/projectId (306-309), ChangeOrder.projectId (334), TimeEntry.userId/projectId (354-357), ScheduleTask.projectId/assigneeId (482/490), WarrantyItem.projectId (549), Project.clientId/engagementId (96/101), NotificationDelivery.notificationId (814), User.clientId/organizationId (21/29), and ProjectAssignment.userId (the @@unique on [projectId,userId] at 155 covers projectId-prefix lookups but not userId-only lookups, which is exactly the hot path for FIELD/SUB/CLIENT 'my assigned projects' gating). Under SQLite this was masked; on Postgres every per-project/per-thread/per-user child query is a sequential scan. Models added later (Engagement 91, CrmActivity 636, ApiCallLog 539, AssistantMessage 743) do have indexes, showing the convention arrived late.</t>
  </si>
  <si>
    <t xml:space="preserve">Inbox (messages by thread), job cockpit (logs/milestones/budget by project), time approval (entries by user), and assignment-based authorization checks all degrade linearly as logs and messages accumulate.</t>
  </si>
  <si>
    <t xml:space="preserve">Add @@index([projectId]) / @@index([threadId, sentAt]) / @@index([userId]) etc. to the listed models and ship as one migration.</t>
  </si>
  <si>
    <t xml:space="preserve">EXPLAIN on `SELECT * FROM "Message" WHERE "threadId" = ...` and `..."ProjectAssignment" WHERE "userId" = ...` shows index scans after migration.</t>
  </si>
  <si>
    <t xml:space="preserve">HH-041</t>
  </si>
  <si>
    <t xml:space="preserve">packages/db/prisma/schema.prisma; apps/web/src/app/(app)/settings/quoActions.ts</t>
  </si>
  <si>
    <t xml:space="preserve">schema.prisma:373-382/426/438/454/469 · settings/quoActions.ts:33</t>
  </si>
  <si>
    <t xml:space="preserve">Integration credentials stored plaintext in the database</t>
  </si>
  <si>
    <t xml:space="preserve">QBO tokens, M365 clientSecret, Quo apiKey, JobTread grantKey and other integration secrets are persisted plaintext in the shared Postgres (acknowledged TODO, still open).
[regraded A1-4/A10-7 S2-&gt;S3 (at-rest hardening gap, not committed/exposed secret)]
[Also reported by: A10, A8 — 3 findings merged]</t>
  </si>
  <si>
    <t xml:space="preserve">Anyone with DB/backup read access obtains live third-party credentials; encryption-at-rest for these fields is missing.</t>
  </si>
  <si>
    <t xml:space="preserve">Encrypt secret columns at rest (app-level envelope encryption) and decrypt only in the Node server path.</t>
  </si>
  <si>
    <t xml:space="preserve">packages/db/prisma/schema.prisma; apps/web/src/lib/quickbooks.ts; apps/web/src/lib/microsoft365.ts; apps/web/src/lib/quo.ts; apps/web/src/lib/jobtread.ts; apps/web/src/app/(app)/settings/quoActions.ts; apps/web/src/app/(app)/settings/m365Actions.ts; apps/web/src/app/(app)/settings/assistantActions.ts; apps/web/src/app/(app)/settings/jobtreadActions.ts</t>
  </si>
  <si>
    <t xml:space="preserve">Inspect the DB: secret columns are ciphertext, not readable plaintext.</t>
  </si>
  <si>
    <t xml:space="preserve">HH-042</t>
  </si>
  <si>
    <t xml:space="preserve">apps/web/src/app/api/external/projects/route.ts; apps/web/src/app/(app)/settings/page.tsx</t>
  </si>
  <si>
    <t xml:space="preserve">api/external/projects/route.ts:15-23 · settings/page.tsx:838</t>
  </si>
  <si>
    <t xml:space="preserve">Legacy Door 1 API key stored and revealable in plaintext</t>
  </si>
  <si>
    <t xml:space="preserve">The Door 1 external API key is stored and compared in plaintext (no rate limit or call log), and Settings exposes it via ?reveal=1 at any time.
[regraded A5-2 S2-&gt;S3 (single legacy key, at-rest hardening)]
[Also reported by: A8 — 2 findings merged]</t>
  </si>
  <si>
    <t xml:space="preserve">A plaintext, on-demand-revealable key is easy to leak; there is no rotation or audit trail on its use.</t>
  </si>
  <si>
    <t xml:space="preserve">Hash the key at rest, remove the reveal path (show once at creation), and add rate limiting/logging on the endpoint.</t>
  </si>
  <si>
    <t xml:space="preserve">The key is not retrievable after creation; the endpoint is rate limited.</t>
  </si>
  <si>
    <t xml:space="preserve">HH-043</t>
  </si>
  <si>
    <t xml:space="preserve">501-514 (model ApiKey) / apps/web/src/lib/api/auth.ts:45</t>
  </si>
  <si>
    <t xml:space="preserve">API keys never expire — only manual revocation</t>
  </si>
  <si>
    <t xml:space="preserve">ApiKey has no expiresAt field and requireScope checks only revokedAt (auth.ts line 45). A key minted once is valid forever unless someone remembers to revoke or rotate it in Settings. Rotation exists (apiKeyActions.ts rotate action regenerates hash) but is entirely manual with no nudge.</t>
  </si>
  <si>
    <t xml:space="preserve">Long-lived static bearer tokens for an API that can read financ                        data (estimates, projects with contractCents/budgetCents) and approve time entries are a standing liability if a key leaks from a consumer's config; there is no automatic bound on exposure.</t>
  </si>
  <si>
    <t xml:space="preserve">Add optional expiresAt to ApiKey, check it in requireScope next to revokedAt (expired → 401 'API key has expired'), default new keys to e.g. 1 year in the Settings creation action, and surface upcoming expiry in the key list UI.</t>
  </si>
  <si>
    <t xml:space="preserve">packages/db/prisma/schema.prisma; apps/web/src/lib/api/auth.ts; apps/web/src/app/(app)/settings/apiKeyActions.ts</t>
  </si>
  <si>
    <t xml:space="preserve">Create a key with expiresAt in the past, call any v1 endpoint with it, expect 401; key with future expiry works.</t>
  </si>
  <si>
    <t xml:space="preserve">HH-044</t>
  </si>
  <si>
    <t xml:space="preserve">apps/web/src/lib/notifications/dispatch.ts</t>
  </si>
  <si>
    <t xml:space="preserve">44 (emitNotification, payload: JSON.stringify(input.payload))</t>
  </si>
  <si>
    <t xml:space="preserve">Raw invite and password-reset tokens persisted in plaintext in Notification.payload</t>
  </si>
  <si>
    <t xml:space="preserve">inviteUser (actions/auth.ts:61-71) and requestPasswordReset (actions/auth.ts:162-165) put rawToken into the emitNotification payload, which dispatch.ts:44 stores as plaintext JSON in the Notification table with no retention/purge. The Invite and PasswordResetToken tables deliberately store only SHA-256 hashes (auth-org.ts hashToken) — this side channel defeats that design.</t>
  </si>
  <si>
    <t xml:space="preserve">Anyone with read access to the DB, a backup, or a future bug that surfaces Notification rows can lift live invite tokens (7-day TTL) and reset tokens (1-hour TTL) and take over accounts, including CEO invites. Tokens remain in the table forever, well past expiry.</t>
  </si>
  <si>
    <t xml:space="preserve">Do not include rawToken in the persisted payload. Either send transactional auth mail directly (bypassing the outbox) or store only the hash in payload and pass the raw token in-memory to the immediate send attempt; null out payload token fields after the delivery reaches status=sent, and add a cleanup that deletes/redacts INVITE and PASSWORD_RESET notifications older than their TTL.</t>
  </si>
  <si>
    <t xml:space="preserve">apps/web/src/lib/notifications/dispatch.ts; apps/web/src/lib/actions/auth.ts; apps/web/src/lib/notifications/templates.ts</t>
  </si>
  <si>
    <t xml:space="preserve">Invite a user and request a password reset, then inspect the Notification table: no plaintext token present; email still contains a working link.</t>
  </si>
  <si>
    <t xml:space="preserve">HH-045</t>
  </si>
  <si>
    <t xml:space="preserve">notifications/dispatch.ts:54 (dedupeKey)</t>
  </si>
  <si>
    <t xml:space="preserve">Day-scoped dedupe suppresses a second password-reset or same-day invite resend</t>
  </si>
  <si>
    <t xml:space="preserve">dedupeKey for PASSWORD_RESET/INVITE resolves to e.g. PASSWORD_RESET:org:user@x.com:2026-07-23 (subjectId falls through to "org", line 50-51). NotificationDelivery.dedupeKey is @unique (schema.prisma:825), and the catch at lines 67-70 treats the collision as a no-op. So a second reset request the same day sends nothing. Worse: resendInvite (actions/auth.ts:92-101) calls inviteUser, which first revokes the prior invite token (auth.ts:44-48) and generates a new one — the new email is then deduped away, leaving the invitee with a revoked link and no new mail until tomorrow.
[regraded A2-1 S2-&gt;S3 (dropped notification is recoverable, not an authz/validation gap)]</t>
  </si>
  <si>
    <t xml:space="preserve">User loses/spam-filters the first reset email, requests again, gets nothing — locked out for the day. CEO clicks Resend invite and actively breaks the pending invite with no error shown (inviteUser returns ok:true).</t>
  </si>
  <si>
    <t xml:space="preserve">Exempt direct-audience transactional events (INVITE, PASSWORD_RESET) from daily dedupe — include a per-event nonce (e.g. notification.id or token hash) in the dedupeKey for those event types, mirroring the existing prefs/unsubscribe bypass for r.type === "direct" in events.ts layeredSuppression.</t>
  </si>
  <si>
    <t xml:space="preserve">Request password reset twice in one day: two emails arrive. Resend an invite same day: new email arrives and its link works while the old link is rejected.</t>
  </si>
  <si>
    <t xml:space="preserve">HH-046</t>
  </si>
  <si>
    <t xml:space="preserve">139-143 (dailySweeps sets notify.lastSweep before doing any work)</t>
  </si>
  <si>
    <t xml:space="preserve">Daily sweep marks itself done before running; failure or timing drift drops a day's notifications</t>
  </si>
  <si>
    <t xml:space="preserve">dailySweeps upserts notify.lastSweep = today first, then queries milestones/vendors. If any later query or emit throws, the sweep will not re-run until the next calendar day. Additionally the MILESTONE_DUE_CLIENT window (lines 146-152) is [now+2d, now+3d) anchored to whatever wall-clock minute the first processQueue of the day runs, so day-to-day sweep-time drift (restarts) creates gaps or overlaps: milestones can be skipped entirely or emailed on two consecutive days (day-scoped dedupeKey does not dedupe across days).</t>
  </si>
  <si>
    <t xml:space="preserve">Client-facing milestone reminders and vendor COI notices silently miss their day after a transient DB/Graph error or an off-schedule restart — exactly the kind of quiet failure an outbox exists to prevent.</t>
  </si>
  <si>
    <t xml:space="preserve">Set notify.lastSweep only after the sweep completes (emits are already idempotent per day via dedupeKey, so a retry is safe), and compute the milestone window from calendar dates (midnight-to-midnight, due in exactly 2 days) instead of now-anchored timestamps.</t>
  </si>
  <si>
    <t xml:space="preserve">Force an exception mid-sweep (e.g. temporarily throw after the marker) and confirm the next processQueue run retries the sweep same-day; unit-check the window math around midnight boundaries.</t>
  </si>
  <si>
    <t xml:space="preserve">HH-047</t>
  </si>
  <si>
    <t xml:space="preserve">67-70 (catch around notificationDelivery.create)</t>
  </si>
  <si>
    <t xml:space="preserve">Delivery-row creation failures are all swallowed as dedupe collisions</t>
  </si>
  <si>
    <t xml:space="preserve">The catch around prisma.notificationDelivery.create assumes any error is the unique dedupeKey collision and no-ops. A genuine failure (DB hiccup, validation, FK) is silently dropped — the notification row exists but no delivery is ever queued, so the retry sweep has nothing to retry.</t>
  </si>
  <si>
    <t xml:space="preserve">Notifications vanish with zero trace (no log line, no failed row) under transient DB errors, undermining the outbox's at-least-once promise.</t>
  </si>
  <si>
    <t xml:space="preserve">Narrow the catch to Prisma unique-constraint errors (P2002 on dedupeKey); log and rethrow-or-record anything else.</t>
  </si>
  <si>
    <t xml:space="preserve">Simulate a non-unique error in delivery creation and confirm it is logged rather than silently ignored; dedupe collision path still no-ops.</t>
  </si>
  <si>
    <t xml:space="preserve">HH-048</t>
  </si>
  <si>
    <t xml:space="preserve">93 (const p = (s) =&gt; String(s ?? "")) used at 116, 121, 152 etc.</t>
  </si>
  <si>
    <t xml:space="preserve">User-supplied content interpolated unescaped into notification email HTML</t>
  </si>
  <si>
    <t xml:space="preserve">renderTemplate builds email HTML by string interpolation with no HTML escaping: payload.notes (DAILY_LOG_CLIENT, line 116), payload.category/option, clientName, job name/address (jobLine, line 91) all land raw in the markup. Daily-log notes are authored by FIELD users and also imported verbatim from JobTread sync.</t>
  </si>
  <si>
    <t xml:space="preserve">Any markup in a log note, client name, or JT-synced field is rendered in the client's branded email — e.g. an injected &lt;a&gt; link or fake content inside a legitimate Henley email (phishing surface), or simply broken layout when notes contain &lt; or &amp;.</t>
  </si>
  <si>
    <t xml:space="preserve">Add an escapeHtml helper and route every payload/db-derived string through it before interpolation (keep the plain-text variants as-is).</t>
  </si>
  <si>
    <t xml:space="preserve">Post a client-visible daily log containing &lt;b&gt;x&lt;/b&gt;&lt;a href="https://evil"&gt;link&lt;/a&gt;; the delivered email shows the literal text, not rendered markup.</t>
  </si>
  <si>
    <t xml:space="preserve">HH-049</t>
  </si>
  <si>
    <t xml:space="preserve">root+deploy</t>
  </si>
  <si>
    <t xml:space="preserve">.github/workflows/deploy.yml; packages/db/package.json</t>
  </si>
  <si>
    <t xml:space="preserve">.github/workflows/deploy.yml:59-62 · packages/db/package.json:8</t>
  </si>
  <si>
    <t xml:space="preserve">Production schema changes via `prisma db push` with no migration history</t>
  </si>
  <si>
    <t xml:space="preserve">Deploy runs prisma db push against the populated live DB and the repo has no prisma/migrations directory — schema evolves with no reviewable, reversible migration trail.
[regraded A1-5 S3-&gt;S2 (data-loss risk against populated prod DB)]
[Also reported by: A1 — 2 findings merged]</t>
  </si>
  <si>
    <t xml:space="preserve">db push can silently drop/alter columns on drift with no rollback; against a DB holding real client data this is a data-loss path.</t>
  </si>
  <si>
    <t xml:space="preserve">Introduce prisma migrate (baseline the current schema), and switch deploy to `migrate deploy`.</t>
  </si>
  <si>
    <t xml:space="preserve">.github/workflows/deploy.yml; deploy/README.md; packages/db/package.json; packages/db/prisma/schema.prisma</t>
  </si>
  <si>
    <t xml:space="preserve">A schema change produces a migration file; deploy applies it via migrate deploy, not push.</t>
  </si>
  <si>
    <t xml:space="preserve">HH-050</t>
  </si>
  <si>
    <t xml:space="preserve">ecosystem.config.js</t>
  </si>
  <si>
    <t xml:space="preserve">12-16 (script/args/cwd)</t>
  </si>
  <si>
    <t xml:space="preserve">PM2 config and deploy workflow cannot start the app — monorepo paths never updated</t>
  </si>
  <si>
    <t xml:space="preserve">ecosystem.config.js runs `node_modules/next/dist/bin/next start -p 3000` with cwd `/home/deploy/henley-hub` (repo root). In this Turborepo layout the production build output is apps/web/.next, so `next start` at the root fails with 'Could not find a production build'. It also bypasses apps/web's start script (`dotenv -e ../../.env -- next start`, apps/web/package.json:11), so the root .env would not be loaded the way every other entry point loads it. The same staleness hits deploy.yml:56-62: `npx prisma generate` and `npx prisma db push` execute at $DEPLOY_PATH root where no schema exists (should be `npm run db:generate` / `npm run db:push`), so the deploy job fails before ever reaching pm2. deploy/README.md steps 6-7 compound this: the server .env example sets DATABASE_URL="file:./dev.db" against a schema whose provider is now postgresql (packages/db/prisma/schema.prisma:6), and claims SQLite lives at the repo root — all pre-Postgres, pre-monorepo instructions.</t>
  </si>
  <si>
    <t xml:space="preserve">The first real production deploy following these files/runbook fails at three separate steps; whoever runs it will be debugging on a live VPS. The comments in ecosystem.config.js still describe SQLite as the datastore, showing this config predates both the monorepo conversion and the Neon migration.</t>
  </si>
  <si>
    <t xml:space="preserve">Point PM2 at the web app: cwd /home/deploy/henley-hub/apps/web with script args loading the root .env (or use `npm --prefix apps/web run start`). In deploy.yml swap the npx prisma calls for the root workspace scripts (npm run db:generate / db:push). Rewrite deploy/README.md step 6 with a postgresql:// DATABASE_URL and drop the dev.db narrative; refresh the stale SQLite comments in ecosystem.config.js while keeping instances:1/fork (still required by the in-memory rate limiter and idempotency cache).</t>
  </si>
  <si>
    <t xml:space="preserve">ecosystem.config.js; .github/workflows/deploy.yml; deploy/README.md</t>
  </si>
  <si>
    <t xml:space="preserve">On the VPS (or a scratch box): run the deploy script end-to-end, `pm2 start ecosystem.config.js`, then `curl -I http://127.0.0.1:3000` returns 200/307 and `pm2 logs` shows no 'Could not find a production build'.</t>
  </si>
  <si>
    <t xml:space="preserve">HH-051</t>
  </si>
  <si>
    <t xml:space="preserve">deploy/nginx/hub.henleycontracting.com.conf</t>
  </si>
  <si>
    <t xml:space="preserve">30 (proxy_read_timeout 60s) and missing directives</t>
  </si>
  <si>
    <t xml:space="preserve">Nginx conf breaks the SSE assistant stream and ships no security headers</t>
  </si>
  <si>
    <t xml:space="preserve">The proxy block sets proxy_read_timeout 60s and leaves proxy_buffering at its default (on). The app serves a long-lived SSE chat route for the assistant (documented in CLAUDE.md and docs/status/BUILD-STATUS-3.md lane E: 'SSE chat route'); with buffering on, streamed tokens are held back until buffer flush, and any &gt;60s quiet period kills the stream mid-conversation. The conf also sets no security headers anywhere (no Strict-Transport-Security, X-Content-Type-Options, X-Frame-Options/CSP frame-ancestors, Referrer-Policy), and next.config.mjs defines no headers() either, so the production app ships with none.</t>
  </si>
  <si>
    <t xml:space="preserve">First real assistant conversation through the proxy will appear frozen or die mid-answer; missing HSTS/nosniff/frame-ancestors is baseline hardening for an app holding client PII and financials on a public hostname.</t>
  </si>
  <si>
    <t xml:space="preserve">Add a location block for the SSE route (or honor X-Accel-Buffering) with proxy_buffering off and a long proxy_read_timeout (e.g. 3600s), keep 60s elsewhere. Add add_header lines for HSTS (after certbot's 443 block exists), X-Content-Type-Options nosniff, Referrer-Policy, and frame-ancestors 'none' via CSP (or set them centrally in next.config.mjs headers()).</t>
  </si>
  <si>
    <t xml:space="preserve">deploy/nginx/hub.henleycontracting.com.conf; apps/web/next.config.mjs</t>
  </si>
  <si>
    <t xml:space="preserve">curl -N the SSE endpoint through nginx and see tokens arrive incrementally past 60s; `curl -sI https://hub.henleycontracting.com` shows the security headers.</t>
  </si>
  <si>
    <t xml:space="preserve">HH-052</t>
  </si>
  <si>
    <t xml:space="preserve">apps/web/next.config.mjs</t>
  </si>
  <si>
    <t xml:space="preserve">2 (allowedOrigins wildcard list)</t>
  </si>
  <si>
    <t xml:space="preserve">Server-action allowedOrigins whitelist ships *.github.dev wildcards to production</t>
  </si>
  <si>
    <t xml:space="preserve">allowedOrigins unconditionally includes "*.app.github.dev", "*.github.dev", and "localhost:3000", and is applied to experimental.serverActions in every environment — including the production build on hub.henleycontracting.com. This disables Next's origin/host check for server-action POSTs coming from any GitHub Codespaces subdomain (any GitHub user's), not just this project's.</t>
  </si>
  <si>
    <t xml:space="preserve">Server actions perform all mutations in this app. The origin check is Next's CSRF layer for them; whitelisting a wildcard domain every GitHub user can host content on weakens it in prod for zero production benefit (the Codespaces entries are only needed in dev). Impact is bounded by auth cookies' SameSite behavior, hence S3 not S2.</t>
  </si>
  <si>
    <t xml:space="preserve">Only add the Codespaces/localhost entries when process.env.CODESPACE_NAME (or NODE_ENV !== 'production') is set; in production, allow only the canonical host.</t>
  </si>
  <si>
    <t xml:space="preserve">Production build: a server-action POST with Origin https://evil-3000.app.github.dev is rejected; Codespaces dev flow still works.</t>
  </si>
  <si>
    <t xml:space="preserve">HH-053</t>
  </si>
  <si>
    <t xml:space="preserve">.devcontainer/setup.sh</t>
  </si>
  <si>
    <t xml:space="preserve">8 (cp .env.example .env)</t>
  </si>
  <si>
    <t xml:space="preserve">Devcontainer bootstrap copies a root .env.example that does not exist</t>
  </si>
  <si>
    <t xml:space="preserve">setup.sh runs `cp .env.example .env` from the repo root under `set -euo pipefail`, but the only tracked env example is apps/web/.env.example (verified via git ls-files); there is no root .env.example. On a fresh Codespace the script dies at line 8 before npm install. Even if the copy is fixed, the example's DATABASE_URL="file:./dev.db" (apps/web/.env.example:3) no longer matches the postgresql provider in packages/db/prisma/schema.prisma:6, so the subsequent `npm run db:reset` (line 33) fails on provider/URL mismatch.
[regraded A11-9 S3-&gt;S4 (dev-only onboarding breakage)]</t>
  </si>
  <si>
    <t xml:space="preserve">The README's 'Codespaces (recommended)' onboarding path (README.md:14-26) is fully broken; a new contributor's first experience is a failed container build. (The db:reset line's danger when .env holds the Neon URL is covered in the S1 finding.)</t>
  </si>
  <si>
    <t xml:space="preserve">Copy apps/web/.env.example (or add a root .env.example with a file:-URL SQLite fallback matching a dev override), and gate the db:reset call on DATABASE_URL starting with file:.</t>
  </si>
  <si>
    <t xml:space="preserve">.devcontainer/setup.sh; apps/web/.env.example; README.md</t>
  </si>
  <si>
    <t xml:space="preserve">Fresh Codespace build completes; `npm run dev` boots and sign-in works with seeded users.</t>
  </si>
  <si>
    <t xml:space="preserve">HH-054</t>
  </si>
  <si>
    <t xml:space="preserve">.github/workflows/deploy.yml</t>
  </si>
  <si>
    <t xml:space="preserve">53 (git reset --hard)</t>
  </si>
  <si>
    <t xml:space="preserve">Deploy uses git reset --hard on the server (mitigated, residual work-loss risk only)</t>
  </si>
  <si>
    <t xml:space="preserve">deploy.yml:53 runs `git fetch --all --prune` + `git reset --hard origin/$DEPLOY_BRANCH` in the server checkout. It deliberately omits `git clean` so the gitignored .env, dev.db, and uploads survive (comment at lines 50-51, confirmed by deploy/README.md:102-104). What it does destroy is any tracked-file hotfix made directly on the server — including the rollback technique the runbook itself recommends (deploy/README.md:190-191: `git reset --hard &lt;old sha&gt;` on the server), which the next push silently re-forwards.</t>
  </si>
  <si>
    <t xml:space="preserve">Low residual risk given the no-clean design, but a server-side emergency patch vanishing on the next push is a confusing failure mode during an incident.</t>
  </si>
  <si>
    <t xml:space="preserve">Add a guard before the reset: `git stash --include-untracked || true` (or fail the deploy if `git status --porcelain` shows tracked modifications) and a runbook note that server hotfixes must be pushed to the branch, not left in the working tree.</t>
  </si>
  <si>
    <t xml:space="preserve">.github/workflows/deploy.yml; deploy/README.md</t>
  </si>
  <si>
    <t xml:space="preserve">Modify a tracked file on the server, trigger a deploy, confirm the deploy either preserves (stash) or loudly refuses rather than silently discarding.</t>
  </si>
  <si>
    <t xml:space="preserve">HH-055</t>
  </si>
  <si>
    <t xml:space="preserve">README.md; packages/db/prisma/schema.prisma; docs/status/AUDIT_FILES_SELECTIONS_CONTRACTS.md</t>
  </si>
  <si>
    <t xml:space="preserve">README.md:74-113 · schema.prisma:10 · docs/status/AUDIT_FILES_SELECTIONS_CONTRACTS.md:65/116</t>
  </si>
  <si>
    <t xml:space="preserve">Docs describe a stale pre-monorepo, pre-Postgres, pre-fix architecture</t>
  </si>
  <si>
    <t xml:space="preserve">Root README describes a pre-monorepo SQLite app that no longer exists, the schema/taxonomy comments still claim SQLite though the provider is postgresql, and the tester audit doc is stale on Files storage and Contract lifecycle.
[Also reported by: A1, A6 — 3 findings merged]</t>
  </si>
  <si>
    <t xml:space="preserve">Stale docs mislead the next builder and contradict the running system (the repo wins per project convention).</t>
  </si>
  <si>
    <t xml:space="preserve">Update README, schema comments, and the audit doc to the current monorepo/Postgres reality.</t>
  </si>
  <si>
    <t xml:space="preserve">README.md; HENLEY_HUB_CONTEXT.md; docs/status/SETUP.md; docs/status/RUN_LOCAL.md; imports/README.md; docs/status/BACKLOG.md; packages/db/prisma/schema.prisma; apps/web/src/lib/taxonomy.ts; docs/status/AUDIT_FILES_SELECTIONS_CONTRACTS.md</t>
  </si>
  <si>
    <t xml:space="preserve">Docs match the running stack and current feature state.</t>
  </si>
  <si>
    <t xml:space="preserve">HH-056</t>
  </si>
  <si>
    <t xml:space="preserve">apps/web/src/app/api/v1/openapi.json/route.ts</t>
  </si>
  <si>
    <t xml:space="preserve">240-243 and 275-283</t>
  </si>
  <si>
    <t xml:space="preserve">OpenAPI spec drift: daily-log P7 fields and file multipart mode undocumented</t>
  </si>
  <si>
    <t xml:space="preserve">The daily-logs POST body schema (line 242) omits the six P7 structured fields the route accepts; the files POST entry (lines 275-283) still says 'no binary storage yet', documents only the JSON metadata mode, and its storageStatus enum lists only pending_no_backend while the route can return stored_object, stored_local, and pending_no_binary (files/route.ts:41,49).</t>
  </si>
  <si>
    <t xml:space="preserve">The spec is rendered at /settings/api/docs and is the contract integrators build against; drift causes consumers to miss the multipart upload path entirely.</t>
  </si>
  <si>
    <t xml:space="preserve">Add the P7 fields to the daily-logs request schema (after fixing the service drop) and document the multipart mode + full storageStatus enum on /api/v1/files.</t>
  </si>
  <si>
    <t xml:space="preserve">Diff the spec's request bodies against each route's zod schema; confirm /settings/api/docs shows the multipart upload option.</t>
  </si>
  <si>
    <t xml:space="preserve">HH-057</t>
  </si>
  <si>
    <t xml:space="preserve">jtQuery (108) — single-shot fetch; same for quoCall (quo.ts:82), gFetch (sharepoint.ts:64), syncInbox (microsoft365.ts:156)</t>
  </si>
  <si>
    <t xml:space="preserve">No retry/backoff on any external call; a single transient failure aborts a sync with partial writes kept</t>
  </si>
  <si>
    <t xml:space="preserve">Every integration client is single-shot fetch with no retry on 429/5xx/network errors. syncAllJobTread explicitly persists partial progress when a mid-run page fetch fails (jobtreadSync.ts:706-710), and syncQuoMessages/syncInbox abort mid-loop the same way. All syncs are manual-triggered and idempotent on external-ID uniques, so re-running heals — but a JobTread 429 halfway through the jobs page loop leaves jobs half-updated until someone notices the error and re-clicks.</t>
  </si>
  <si>
    <t xml:space="preserve">Flaky externals (Pave 413/429s are already noted in comments, Nominatim is rate-limited) turn into user-visible sync failures that require manual re-runs; a single retry with backoff on 429/5xx would absorb most of them.</t>
  </si>
  <si>
    <t xml:space="preserve">Add one shared retry helper (2-3 attempts, exponential backoff, retry only on 429/502/503/network) and wrap jtQuery, quoCall, gFetch, and the Graph sync fetches; QBO calls are guardrail-described only.</t>
  </si>
  <si>
    <t xml:space="preserve">apps/web/src/lib/jobtread.ts; apps/web/src/lib/quo.ts; apps/web/src/lib/sharepoint.ts; apps/web/src/lib/microsoft365.ts</t>
  </si>
  <si>
    <t xml:space="preserve">Mock a 429-then-200 sequence and confirm jtOrgListAll completes without surfacing an error.</t>
  </si>
  <si>
    <t xml:space="preserve">HH-058</t>
  </si>
  <si>
    <t xml:space="preserve">apps/web/src/lib/actions/jobtreadSync.ts</t>
  </si>
  <si>
    <t xml:space="preserve">syncAllJobTread (line 690); also quo.ts:239-249 and microsoft365.ts:186-201</t>
  </si>
  <si>
    <t xml:space="preserve">No sync locking anywhere — concurrent runs race find-then-create on unique keys and abort mid-run</t>
  </si>
  <si>
    <t xml:space="preserve">syncAllJobTread, syncQuoMessages/syncQuoCalls, and syncInbox all use findUnique-then-create on unique columns (Client.jobtreadAccountId, Project.jobtreadJobId, Thread.quoConversationId, Thread.graphConversationId — all @unique in schema.prisma) with no advisory lock or in-flight flag. Two CEOs (Nick + Arnab share the Neon DB per CLAUDE.md) or a double-clicked Sync button race: both pass the findUnique, one create throws P2002, and the whole sync aborts partway with a raw Prisma error while lastSyncSummary from the two runs clobber each other.</t>
  </si>
  <si>
    <t xml:space="preserve">Unique constraints prevent actual duplication, but a half-completed run surfaced as a cryptic P2002 looks like a broken integration and leaves the summary/lastSyncAt reflecting whichever run wrote last.</t>
  </si>
  <si>
    <t xml:space="preserve">Guard each sync with a conditional claim on its config singleton (e.g. updateMany where syncingAt is null or older than N minutes, set syncingAt, clear in finally) and return 'sync already running' to the second caller; switch the inner find-then-create pairs to upsert keyed on the external-ID unique to make races benign.</t>
  </si>
  <si>
    <t xml:space="preserve">apps/web/src/lib/actions/jobtreadSync.ts; apps/web/src/lib/quo.ts; apps/web/src/lib/microsoft365.ts; packages/db/prisma/schema.prisma</t>
  </si>
  <si>
    <t xml:space="preserve">Fire syncAllJobTread twice concurrently; assert the second returns a friendly already-running result and the first completes with a coherent summary.</t>
  </si>
  <si>
    <t xml:space="preserve">HH-059</t>
  </si>
  <si>
    <t xml:space="preserve">apps/web/src/lib/quickbooks.ts</t>
  </si>
  <si>
    <t xml:space="preserve">refreshQBOToken (lines 60-99) / getValidQBOToken (105-118)</t>
  </si>
  <si>
    <t xml:space="preserve">QBO token refresh has no concurrency control; racing refreshes can persist a stale rotated refresh token</t>
  </si>
  <si>
    <t xml:space="preserve">getValidQBOToken triggers refreshQBOToken whenever the token is within 5 minutes of expiry. Two overlapping server actions (e.g. listQBOEmployees and a time push) both call Intuit's token endpoint with the same refresh token. Intuit rotates refresh tokens; the last saveQBOToken writer wins, and if the responses interleave the stored refreshToken can be the older, already-superseded one. There is also no retry, and a crash between Intuit issuing the new token and saveQBOToken persisting it loses the rotation.</t>
  </si>
  <si>
    <t xml:space="preserve">A stale refresh token bricks the whole QuickBooks connection silently — the next financial operation fails with invalid_grant and someone must manually re-run OAuth, likely mid-payroll.</t>
  </si>
  <si>
    <t xml:space="preserve">Serialize refresh behind a DB-level guard (e.g. conditional updateMany claiming a refreshingAt timestamp on the QBOToken row, with the loser re-reading the freshly saved token instead of refreshing) and keep the old refreshToken only when Intuit omits a new one (already done at line 94). Guardrail file — described only.</t>
  </si>
  <si>
    <t xml:space="preserve">Force expiresAt into the past, fire two concurrent getValidQBOToken calls, and assert only one POST hits oauth.platform.intuit.com and the stored refreshToken matches Intuit's latest.</t>
  </si>
  <si>
    <t xml:space="preserve">HH-060</t>
  </si>
  <si>
    <t xml:space="preserve">4-7 (QBO_BASE ternary); duplicated in employeeMapActions.ts:8-11</t>
  </si>
  <si>
    <t xml:space="preserve">QBO base URL silently defaults to sandbox unless QB_ENV === 'production', duplicated in two files</t>
  </si>
  <si>
    <t xml:space="preserve">Both pushTimeActivity.ts and employeeMapActions.ts compute QBO_BASE as sandbox unless QB_ENV is exactly 'production'. A production deploy that forgets QB_ENV (it is not part of the token/connect flow, which works identically either way) sends real approved time entries to the sandbox host with the production realmId — Intuit returns 401/403, and every approval fails with a confusing error. The constant being duplicated in two files also lets the two QBO callers drift.</t>
  </si>
  <si>
    <t xml:space="preserve">The failure only appears at first time-approval in prod, blocking payroll sync until someone correlates it to a missing env var; nothing at startup or on the integration page warns about it.</t>
  </si>
  <si>
    <t xml:space="preserve">Centralize QBO_BASE in one module and fail loudly (or surface on the integrations page) when a production realm is paired with the sandbox base; pushTimeActivity.ts is guardrail so its change is described only — employeeMapActions.ts can import the shared constant.</t>
  </si>
  <si>
    <t xml:space="preserve">apps/web/src/app/(app)/integrations/quickbooks/employeeMapActions.ts; apps/web/src/app/(app)/integrations/quickbooks/pushTimeActivity.ts</t>
  </si>
  <si>
    <t xml:space="preserve">Unset QB_ENV locally with a connected prod realm and confirm the integrations page shows the environment mismatch instead of a raw QBO 401 at approval time.</t>
  </si>
  <si>
    <t xml:space="preserve">HH-061</t>
  </si>
  <si>
    <t xml:space="preserve">60 (fetch to /timeactivity with no AbortController)</t>
  </si>
  <si>
    <t xml:space="preserve">QBO fetches have no timeout, unlike every other integration client</t>
  </si>
  <si>
    <t xml:space="preserve">jtQuery (jobtread.ts:105-106, 15s), quoCall (quo.ts:79-80, 5s), and geocodeAddress (geocode.ts:23-24, 10s) all wrap fetch in an AbortController; the QBO POST in pushTimeActivityToQBO and the query GET in employeeMapActions.ts:35 have none. A hung Intuit connection stalls approveTimeEntry / the employee-mapping page indefinitely.</t>
  </si>
  <si>
    <t xml:space="preserve">One stuck upstream socket ties up the server action until the platform kills it, and the approver sees an endless spinner with the entry left approved+qbReady but unsynced.</t>
  </si>
  <si>
    <t xml:space="preserve">Add the same AbortController+setTimeout pattern (10-15s) used in jtQuery to both QBO fetch sites; pushTimeActivity.ts change is described only per guardrail.</t>
  </si>
  <si>
    <t xml:space="preserve">apps/web/src/app/(app)/integrations/quickbooks/pushTimeActivity.ts; apps/web/src/app/(app)/integrations/quickbooks/employeeMapActions.ts</t>
  </si>
  <si>
    <t xml:space="preserve">Point QBO_BASE at a blackholed host and confirm the push returns a timeout error within ~15s instead of hanging.</t>
  </si>
  <si>
    <t xml:space="preserve">HH-062</t>
  </si>
  <si>
    <t xml:space="preserve">apps/web/src/lib/microsoft365.ts</t>
  </si>
  <si>
    <t xml:space="preserve">157 (GET /users/{mailbox}/messages) and 214 (direction: "IN")</t>
  </si>
  <si>
    <t xml:space="preserve">Inbox sync pulls the whole mailbox (incl. Sent Items) and ingests our own outbound mail as inbound unread</t>
  </si>
  <si>
    <t xml:space="preserve">syncInbox queries `/users/{mailbox}/messages`, which returns messages from all mail folders including Sent Items. Every message is created with direction "IN" (line 214), bumps the thread's unread counter (line 205), and emits an INBOX_MESSAGE notification (lines 222-227). Replies sent via sendReply (line 241) land in Sent Items and are re-ingested on the next sync as new inbound unread messages with a notification.</t>
  </si>
  <si>
    <t xml:space="preserve">The unified inbox shows the team's own replies as unread incoming mail and spams notifications for mail Henley itself sent — inbox counts become untrustworthy the moment reply is used.</t>
  </si>
  <si>
    <t xml:space="preserve">Query `/users/{mailbox}/mailFolders/inbox/messages` instead (mirroring testM365Connection which already targets the inbox folder), or set direction OUT / skip unread+notification when from.emailAddress.address equals creds.mailbox.</t>
  </si>
  <si>
    <t xml:space="preserve">Send a reply from the Hub, run Sync now in Settings, and confirm the sent message appears as OUT (or not at all), unread does not increment, and no INBOX_MESSAGE notification is emitted.</t>
  </si>
  <si>
    <t xml:space="preserve">HH-063</t>
  </si>
  <si>
    <t xml:space="preserve">511 (clientVisible: false in dailyLogsSync data) and 522-524 (update path)</t>
  </si>
  <si>
    <t xml:space="preserve">JobTread daily-log re-sync resets clientVisible to false, reverting Hub-side share-with-client decisions every run</t>
  </si>
  <si>
    <t xml:space="preserve">dailyLogsSync builds `data` with `clientVisible: false` unconditionally and applies it on the UPDATE path too: if a Hub user flips a JT-synced log to client-visible, the next sync's changed() detects the difference and flips it back to false. The comment says 'internal until Hub decides otherwise', but the code overrides the Hub's decision on every sync.</t>
  </si>
  <si>
    <t xml:space="preserve">Client-visible toggles silently revert, so clients lose access to logs the team deliberately shared — confusing and undermines trust in the portal (fails safe direction, so no data leak).</t>
  </si>
  <si>
    <t xml:space="preserve">Set clientVisible only on the CREATE branch; exclude it (and any other Hub-owned field) from the update `data` object so re-sync never touches it.</t>
  </si>
  <si>
    <t xml:space="preserve">Sync daily logs, mark one clientVisible in the Hub, re-run syncJobTreadDailyLogs, and confirm the flag survives and counts report it as skipped.</t>
  </si>
  <si>
    <t xml:space="preserve">HH-064</t>
  </si>
  <si>
    <t xml:space="preserve">apps/web/src/lib/quo.ts; apps/web/src/lib/sharepoint.ts</t>
  </si>
  <si>
    <t xml:space="preserve">lib/quo.ts:225-253 · lib/sharepoint.ts:155-169</t>
  </si>
  <si>
    <t xml:space="preserve">Integration sync ignores pagination — Quo and SharePoint silently truncate</t>
  </si>
  <si>
    <t xml:space="preserve">Quo sync is unpaginated (conversations beyond 100, and messages/calls beyond 100 per conversation, never ingested) and SharePoint listItems ignores @odata.nextLink, so folders past one Graph page are truncated. Both drop records with no error.</t>
  </si>
  <si>
    <t xml:space="preserve">Data silently goes missing from the Hub; users trust an incomplete view.</t>
  </si>
  <si>
    <t xml:space="preserve">Follow pageToken / @odata.nextLink loops until exhausted in both clients.</t>
  </si>
  <si>
    <t xml:space="preserve">Sync an account with &gt;100 conversations / a folder with &gt;1 page; confirm all records ingest.</t>
  </si>
  <si>
    <t xml:space="preserve">HH-065</t>
  </si>
  <si>
    <t xml:space="preserve">apps/web/src/lib/quo.ts</t>
  </si>
  <si>
    <t xml:space="preserve">276-281 (thread.unread + 1 with stale thread)</t>
  </si>
  <si>
    <t xml:space="preserve">Quo SMS unread counter uses the stale pre-loop thread row — N new inbound texts increment unread by only 1</t>
  </si>
  <si>
    <t xml:space="preserve">Inside the per-message loop, `thread` is the row fetched (or created) before the loop; each update writes `unread: thread.unread + 1` from that stale in-memory value, so five new incoming messages in one sync leave unread at old+1, not old+5. The `when &gt; thread.lastAt` comparison is equally stale.</t>
  </si>
  <si>
    <t xml:space="preserve">Unread badges in the inbox undercount whenever a client sends multiple texts between syncs — exactly the busy-thread case where the badge matters.</t>
  </si>
  <si>
    <t xml:space="preserve">Use an atomic increment (`unread: { increment: 1 }`) and track the max sentAt locally, writing lastAt once after the loop; same pattern applies to syncInbox in microsoft365.ts line 205.</t>
  </si>
  <si>
    <t xml:space="preserve">apps/web/src/lib/quo.ts; apps/web/src/lib/microsoft365.ts</t>
  </si>
  <si>
    <t xml:space="preserve">Seed a conversation with 3 unseen inbound messages, run syncQuoMessages, and assert thread.unread increased by 3.</t>
  </si>
  <si>
    <t xml:space="preserve">HH-066</t>
  </si>
  <si>
    <t xml:space="preserve">147 (organizationId fallback "22PVYxTzwCLW"); also jobtreadCardData.ts:27 and sharepoint.ts:32 (Azure client ID in error text)</t>
  </si>
  <si>
    <t xml:space="preserve">Hardcoded external IDs: JobTread org ID fallback duplicated in two files, Azure app client ID embedded in an error string</t>
  </si>
  <si>
    <t xml:space="preserve">jtOrgQuery falls back to the literal org ID "22PVYxTzwCLW" when JobTreadConfig has none, and jobtreadCardData.ts repeats the same literal; sharepoint.ts's 403 error message embeds the Azure app registration client ID. None are secrets, but they are environment-specific identifiers baked into source in multiple places.</t>
  </si>
  <si>
    <t xml:space="preserve">If Henley's JobTread org or the Azure app registration ever changes, silent fallbacks to a stale hardcoded ID produce confusing wrong-org queries; duplication invites drift.</t>
  </si>
  <si>
    <t xml:space="preserve">Hoist the org-ID fallback to a single exported constant (or make organizationId required at connect time and error when absent) and read the Azure client ID for the consent message from the stored M365Config.clientId.</t>
  </si>
  <si>
    <t xml:space="preserve">apps/web/src/lib/jobtread.ts; apps/web/src/lib/jobtreadCardData.ts; apps/web/src/lib/sharepoint.ts</t>
  </si>
  <si>
    <t xml:space="preserve">Grep for 22PVYxTzwCLW and 1b7e8810 returns one (or zero) occurrences.</t>
  </si>
  <si>
    <t xml:space="preserve">HH-067</t>
  </si>
  <si>
    <t xml:space="preserve">apps/web/src/lib/assistant/tools.ts</t>
  </si>
  <si>
    <t xml:space="preserve">307 (list_daily_logs roles: ALL; also get_job line 139)</t>
  </si>
  <si>
    <t xml:space="preserve">Assistant lets SUB read all daily logs on assigned jobs, contrary to the role model</t>
  </si>
  <si>
    <t xml:space="preserve">list_daily_logs and get_job filter logs only for CLIENT (clientVisible), while SUB is included in roles: ALL and jobsWhere grants assignment-scoped access. A subcontractor can read every daily log (any author, including internal-only logs, notes up to 400 chars) on jobs they're assigned to. The documented role model (CLAUDE.md / Master) says SUB gets "no daily logs from others".</t>
  </si>
  <si>
    <t xml:space="preserve">Internal field notes (delays, safety incidents context, other trades' issues) leak to subcontractors via the assistant even if the daily-log UI pages gate them; the tool layer is an independent read path.</t>
  </si>
  <si>
    <t xml:space="preserve">In list_daily_logs and get_job, when ctx.role === "SUB" restrict to logs authored by ctx.userId (or exclude the tool for SUB by dropping it from roles), matching whatever the daily-log pages enforce.</t>
  </si>
  <si>
    <t xml:space="preserve">Sign in as a SUB assigned to a job with logs by a FIELD user; ask the assistant for recent logs — only the sub's own (or none) are returned.</t>
  </si>
  <si>
    <t xml:space="preserve">HH-068</t>
  </si>
  <si>
    <t xml:space="preserve">apps/web/src/lib/actions/engagements.ts</t>
  </si>
  <si>
    <t xml:space="preserve">43-46 (createEngagement discards attachJobInternal errors)</t>
  </si>
  <si>
    <t xml:space="preserve">createEngagement silently drops jobs that fail to attach</t>
  </si>
  <si>
    <t xml:space="preserve">The loop over jobIds calls attachJobInternal but ignores its returned error string (e.g. "Job belongs to a different client"), then returns { ok: true }. The engagement is created but some selected jobs are quietly missing.</t>
  </si>
  <si>
    <t xml:space="preserve">Office user multi-selects jobs, one belongs to another client, the form reports success and the mismatch is only discovered later.</t>
  </si>
  <si>
    <t xml:space="preserve">Collect the per-job errors and return them in the result (ok: true with warnings, or ok: false when any attach fails).</t>
  </si>
  <si>
    <t xml:space="preserve">Create an engagement with one valid and one wrong-client job; the response surfaces the skipped job.</t>
  </si>
  <si>
    <t xml:space="preserve">HH-069</t>
  </si>
  <si>
    <t xml:space="preserve">18-21 (toCents) used at 45-46 (saveCostItem)</t>
  </si>
  <si>
    <t xml:space="preserve">saveCostItem accepts negative and unbounded unit cost/price</t>
  </si>
  <si>
    <t xml:space="preserve">toCents passes any parseFloat result through (negative, or absurdly large), and saveCostItem applies it directly to unitCostCents/unitPriceCents with no bounds check — unlike addEstimateLine, which enforces unitCents &gt; 0.</t>
  </si>
  <si>
    <t xml:space="preserve">A typo like "-450" or "4500000" lands in the catalog and flows into estimate lines and margins without any guard.</t>
  </si>
  <si>
    <t xml:space="preserve">Reject negative values (and set a sane upper bound) in saveCostItem, matching addEstimateLine's validation.</t>
  </si>
  <si>
    <t xml:space="preserve">Submitting a cost item with unitCost -5 returns a validation error.</t>
  </si>
  <si>
    <t xml:space="preserve">HH-070</t>
  </si>
  <si>
    <t xml:space="preserve">apps/web/src/lib/assistant/providers.ts</t>
  </si>
  <si>
    <t xml:space="preserve">228 (callGemini URL ...:generateContent?key=...) and 282 (pickWorkingModel)</t>
  </si>
  <si>
    <t xml:space="preserve">Gemini API key sent as URL query parameter</t>
  </si>
  <si>
    <t xml:space="preserve">callGemini and the model-discovery fetch put the org's Gemini API key in the request URL query string instead of the x-goog-api-key header.</t>
  </si>
  <si>
    <t xml:space="preserve">Keys in URLs are routinely captured by proxies, egress logging, and error messages (ProviderError includes the host but the URL with key can surface in stack traces or fetch instrumentation).</t>
  </si>
  <si>
    <t xml:space="preserve">Send the key via the x-goog-api-key header on both calls; drop it from the URLs.</t>
  </si>
  <si>
    <t xml:space="preserve">Gemini verify + chat still succeed with the key only in headers.</t>
  </si>
  <si>
    <t xml:space="preserve">HH-071</t>
  </si>
  <si>
    <t xml:space="preserve">102</t>
  </si>
  <si>
    <t xml:space="preserve">setEstimateStatus has no transition guard and re-emits client notifications on repeat calls</t>
  </si>
  <si>
    <t xml:space="preserve">setEstimateStatus (lines 102-127) accepts any of the four statuses in any order — ACCEPTED can go back to DRAFT, DECLINED to ACCEPTED — and every call with SENT or ACCEPTED unconditionally fires emitNotification (lines 113-125). Contrast changeOrderService, which locks decided orders via its TRANSITIONS table (changeOrderService.ts:13-18). The v1 route (api/v1/estimates/[id]/status/route.ts) passes status straight through.</t>
  </si>
  <si>
    <t xml:space="preserve">A retried or duplicate status POST (the route has no required idempotency key) emails the client the same 'estimate sent/accepted' notification again, and an accepted estimate — potentially already converted to a contract — can be silently flipped back to DRAFT, corrupting the paper trail.</t>
  </si>
  <si>
    <t xml:space="preserve">Add a TRANSITIONS map mirroring changeOrderService (DRAFT→SENT, SENT→ACCEPTED|DECLINED, terminal states locked), throw ConflictError on invalid moves, and only emit notifications when the status actually changes.</t>
  </si>
  <si>
    <t xml:space="preserve">POST status=SENT twice: second call returns 409 and only one ESTIMATE_SENT notification row exists; POST status=DRAFT on an ACCEPTED estimate returns 409.</t>
  </si>
  <si>
    <t xml:space="preserve">HH-072</t>
  </si>
  <si>
    <t xml:space="preserve">apps/web/src/lib/services/threadService.ts</t>
  </si>
  <si>
    <t xml:space="preserve">68</t>
  </si>
  <si>
    <t xml:space="preserve">createMessage updates thread non-transactionally with a stale-read unread counter</t>
  </si>
  <si>
    <t xml:space="preserve">createMessage creates the Message (line 58) then updates the Thread (lines 68-71) in a second, non-transactional write, computing unread as `thread.unread + 1` from the row read before the create (line 53). Two concurrent inbound messages both read unread=N and both write N+1; a crash between the two writes leaves lastAt/unread stale.</t>
  </si>
  <si>
    <t xml:space="preserve">Inbound SMS/email often arrives in bursts once delivery is wired; undercounted unread badges and stale thread ordering are exactly the inbox bugs that erode trust in the unified-comms surface.</t>
  </si>
  <si>
    <t xml:space="preserve">Wrap both writes in prisma.$transaction and use `unread: direction === "OUT" ? 0 : { increment: 1 }` so the counter is atomic.</t>
  </si>
  <si>
    <t xml:space="preserve">Fire 10 concurrent inbound createMessage calls on one thread; unread must equal 10.</t>
  </si>
  <si>
    <t xml:space="preserve">HH-073</t>
  </si>
  <si>
    <t xml:space="preserve">apps/web/src/app/(app)/profile/page.tsx</t>
  </si>
  <si>
    <t xml:space="preserve">49 (changePassword)</t>
  </si>
  <si>
    <t xml:space="preserve">Profile password change enforces min length 4, bypassing the 10-char policy</t>
  </si>
  <si>
    <t xml:space="preserve">changePassword accepts any new password of length &gt;= 4 and hashes at cost 10, while invite-accept and reset flows enforce passwordPolicyError (min 10, lib/auth-org.ts:54) and BCRYPT_COST 12 (lib/actions/auth.ts:22). Any user can immediately downgrade to a 4-character password after onboarding.</t>
  </si>
  <si>
    <t xml:space="preserve">The stronger invite/reset policy is meaningless if the in-app change path allows 'abcd'. Single shared login surface for CEO-level accounts makes weak passwords a real credential-stuffing risk.</t>
  </si>
  <si>
    <t xml:space="preserve">Import passwordPolicyError and BCRYPT_COST semantics into changePassword: reject when passwordPolicyError(next) returns an error, hash with cost 12, and mirror the minLength=10 attribute on the form inputs.</t>
  </si>
  <si>
    <t xml:space="preserve">Attempt to change password to a 4-char value via /profile — expect the policy error; a 10+ char value succeeds.</t>
  </si>
  <si>
    <t xml:space="preserve">HH-074</t>
  </si>
  <si>
    <t xml:space="preserve">apps/web/src/middleware.ts</t>
  </si>
  <si>
    <t xml:space="preserve">33-37</t>
  </si>
  <si>
    <t xml:space="preserve">Unauthenticated calls to protected /api/* routes get a 302 to /sign-in instead of 401</t>
  </si>
  <si>
    <t xml:space="preserve">Routes like /api/assistant, /api/files, /api/admin/export are not in the isPublic list, so an expired-session fetch receives a redirect to the sign-in HTML page (with callbackUrl set to the API path) rather than a JSON 401. Client fetches follow the redirect and choke on HTML; a later login can even bounce the browser to a raw API URL via callbackUrl.</t>
  </si>
  <si>
    <t xml:space="preserve">Confusing failure mode for the assistant SSE route and file downloads when a session expires mid-use; makes client-side error handling guesswork.</t>
  </si>
  <si>
    <t xml:space="preserve">In middleware, when !isLoggedIn &amp;&amp; !isPublic &amp;&amp; pathname.startsWith("/api/"), return NextResponse.json({ error: "unauthorized" }, { status: 401 }) instead of redirecting, and skip setting callbackUrl for /api paths.</t>
  </si>
  <si>
    <t xml:space="preserve">curl an /api/assistant endpoint without a session cookie — expect 401 JSON, not a 302.</t>
  </si>
  <si>
    <t xml:space="preserve">HH-075</t>
  </si>
  <si>
    <t xml:space="preserve">158-181 (legacy key migration)</t>
  </si>
  <si>
    <t xml:space="preserve">Settings page GET render performs a database write (legacy API key migration)</t>
  </si>
  <si>
    <t xml:space="preserve">Rendering /settings as CEO runs a side-effecting migration: if no ApiKey rows exist and a legacy hub key is set, it creates an ApiKey row mid-render. Two concurrent CEO page loads can both pass the length===0 check and insert duplicate rows (no unique constraint on hash), and a render is re-executed by prefetch/refresh.</t>
  </si>
  <si>
    <t xml:space="preserve">Mutations-in-GET violate the app's own server-action convention, break under React prefetching, and make the page non-idempotent. Contained (CEO-only, converges after first row exists) but wrong-shaped.</t>
  </si>
  <si>
    <t xml:space="preserve">Move the migration into an explicit one-time script or into the rotateHubKey/createApiKey action path; render a 'migrate legacy key' button instead of auto-migrating on read.</t>
  </si>
  <si>
    <t xml:space="preserve">Load /settings twice concurrently on a DB with a legacy key and zero ApiKey rows — exactly one migrated row should exist.</t>
  </si>
  <si>
    <t xml:space="preserve">HH-076</t>
  </si>
  <si>
    <t xml:space="preserve">apps/web/src/lib/roles.ts</t>
  </si>
  <si>
    <t xml:space="preserve">canSeeFinancials / canViewAllProjects / canManageTeam (lines 16-26)</t>
  </si>
  <si>
    <t xml:space="preserve">Role helpers bypassed by ~30 inline 'role === CEO || role === OFFICE' re-implementations in three divergent styles</t>
  </si>
  <si>
    <t xml:space="preserve">The shared helpers exist and are used in ~20 files, but at least 30 other gate sites re-implement the predicate inline: local isManager() copies in scheduleActions.ts:11, warrantyActions.ts:18, projectCodeActions.ts:11, vendorActions.ts:18, templateActions.ts:12; raw comparisons in crm/actions.ts:20/38/64/106, taskActions.ts:26, inboxActions.ts:80 (dismissThread), timeActions.ts:88, employeeMapActions.ts:18, lib/actions/jobViews.ts:194/228, engagements.ts:20, location.ts:15, catalog.ts:14, jobs/page.tsx:20, jobs/list/page.tsx:19, jobs/todos/page.tsx:22, jobs/catalog/page.tsx:12, jobs/daily-logs/page.tsx:13, jobs/connection/page.tsx:16, jobs/[id]/page.tsx:24, jobs/projects/page.tsx:17, jobs/projects/[id]/page.tsx:14, templates/page.tsx:14, vendors/page.tsx:14, settings/page.tsx:108, settings/api/docs/page.tsx:12, dashboard/page.tsx:22, projects/[id]/page.tsx:52; and a third lowercased variant in lib/actions/sharepointActions.ts:30 (role.toLowerCase() !== 'ceo' &amp;&amp; !== 'office'). Every inline site happens to equal canViewAllProjects today.
[regraded A0-4 S3-&gt;S4 (A2 verified no actual authz bypass; maintainability/drift risk)]</t>
  </si>
  <si>
    <t xml:space="preserve">The role model is the app's security backbone. When it changes (a PM role, OFFICE losing an area — both plausible per the pending role-mapping decision), the 20 helper sites update in one place and the 30 inline sites silently diverge. This is the same drift mechanism A10 flagged for the duplicated QBO_BASE ternary, at 15x the surface.</t>
  </si>
  <si>
    <t xml:space="preserve">Mechanical sweep: replace each inline CEO/OFFICE comparison and each local isManager()/requireCeoOrOffice() with the matching lib/roles helper (canViewAllProjects for visibility gates, canSeeFinancials for money gates, canManageTeam for CEO-only). Add a lint rule or grep check forbidding role === "CEO" outside lib/roles.ts.</t>
  </si>
  <si>
    <t xml:space="preserve">apps/web/src/lib/roles.ts; apps/web/src/app/(app)/schedule/scheduleActions.ts; apps/web/src/app/(app)/crm/actions.ts; apps/web/src/lib/actions/sharepointActions.ts; apps/web/src/app/(app)/projects/[id]/warrantyActions.ts; apps/web/src/app/(app)/vendors/vendorActions.ts; apps/web/src/app/(app)/templates/templateActions.ts</t>
  </si>
  <si>
    <t xml:space="preserve">rg 'role === "CEO"' apps/web/src --glob '!lib/roles.ts' returns zero hits; role gates behave identically per role in a smoke pass.</t>
  </si>
  <si>
    <t xml:space="preserve">HH-077</t>
  </si>
  <si>
    <t xml:space="preserve">createDailyLog:44-50 (also estimateService.ts createEstimate:51)</t>
  </si>
  <si>
    <t xml:space="preserve">authorId never checked for existence — FK violation surfaces as 500</t>
  </si>
  <si>
    <t xml:space="preserve">createDailyLog verifies projectId references a real project but only checks authorId is non-empty; DailyLog.authorId is a required FK to User (schema.prisma:200-201). createEstimate has the same gap for its required authorId FK (schema.prisma:272-273). createTimeEntry, by contrast, checks both user and project.</t>
  </si>
  <si>
    <t xml:space="preserve">A bad authorId triggers Prisma P2003, which failFromError converts to 500 'internal' instead of a 400 with field details — misleading for API consumers and noisy in error logs.</t>
  </si>
  <si>
    <t xml:space="preserve">Look up the author user alongside the project (Promise.all, as timeEntryService does) and throw ValidationError('authorId does not reference an existing user') in both createDailyLog and createEstimate.</t>
  </si>
  <si>
    <t xml:space="preserve">apps/web/src/lib/services/dailyLogService.ts; apps/web/src/lib/services/estimateService.ts</t>
  </si>
  <si>
    <t xml:space="preserve">POST /api/v1/daily-logs and /api/v1/estimates with a fabricated authorId — both should return 400 invalid_input with an authorId field error, not 500.</t>
  </si>
  <si>
    <t xml:space="preserve">HH-078</t>
  </si>
  <si>
    <t xml:space="preserve">apps/web/src/app/api/oauth/token/route.ts</t>
  </si>
  <si>
    <t xml:space="preserve">28-37 (authorization_code branch)</t>
  </si>
  <si>
    <t xml:space="preserve">OAuth authorization code consumption is not atomic</t>
  </si>
  <si>
    <t xml:space="preserve">The code row is fetched with findUnique, checked for consumedAt, then marked consumed in a separate update. Two concurrent POSTs with the same code can both pass the consumedAt check and each mint a full access+refresh token pair.</t>
  </si>
  <si>
    <t xml:space="preserve">OAuth 2.1 requires single-use codes; an intercepted code raced against the legitimate redemption yields a second valid token family with the user's role. PKCE narrows the attacker window but double-redemption by the verifier holder is still possible.</t>
  </si>
  <si>
    <t xml:space="preserve">Consume atomically: const r = await prisma.oAuthCode.updateMany({ where: { id: row.id, consumedAt: null }, data: { consumedAt: new Date() } }); if (r.count === 0) return err('invalid_grant') — before minting tokens.</t>
  </si>
  <si>
    <t xml:space="preserve">Fire two parallel token requests with the same code; exactly one should receive tokens, the other invalid_grant.</t>
  </si>
  <si>
    <t xml:space="preserve">HH-079</t>
  </si>
  <si>
    <t xml:space="preserve">apps/web/src/app/api/oauth/register/route.ts</t>
  </si>
  <si>
    <t xml:space="preserve">POST (lines 7-27)</t>
  </si>
  <si>
    <t xml:space="preserve">Unauthenticated dynamic client registration with no rate limit</t>
  </si>
  <si>
    <t xml:space="preserve">POST /api/oauth/register is intentionally public (RFC 7591, listed in middleware isPublic) but has no rate limiting or cap, so any anonymous caller can create unlimited OAuthClient rows.</t>
  </si>
  <si>
    <t xml:space="preserve">Table spam / DB bloat on the shared Neon database; registration itself grants nothing without a user completing /oauth/authorize, so impact is availability, not access.</t>
  </si>
  <si>
    <t xml:space="preserve">Apply the existing rateLimit keyed by client IP (or a small daily cap) to POST /api/oauth/register, and add a cleanup for OAuthClient rows that never obtain a token.</t>
  </si>
  <si>
    <t xml:space="preserve">Loop 50 registrations from one IP; requests beyond the limit return 429 and the table stops growing.</t>
  </si>
  <si>
    <t xml:space="preserve">HH-080</t>
  </si>
  <si>
    <t xml:space="preserve">apps/web/src/app/api/assistant/chat/route.ts</t>
  </si>
  <si>
    <t xml:space="preserve">144 (POST body cast)</t>
  </si>
  <si>
    <t xml:space="preserve">Assistant chat POST parses body without validation or JSON error handling</t>
  </si>
  <si>
    <t xml:space="preserve">const body = (await req.json()) as {...} — malformed JSON throws before the SSE stream starts, surfacing as an unhandled 500; the shape (threadId, confirm, attachments[].dataBase64) is trusted via type-cast rather than parsed, unlike every v1 route which uses parseBody+zod.</t>
  </si>
  <si>
    <t xml:space="preserve">A garbled client request produces a raw 500 instead of a 400, and non-string dataBase64/mediaType values only fail later inside the provider call path.</t>
  </si>
  <si>
    <t xml:space="preserve">Wrap req.json() in try/catch returning 400, and validate the body with a small zod schema (threadId string, message string, confirm.approve boolean, attachments array of {mediaType, dataBase64} strings).</t>
  </si>
  <si>
    <t xml:space="preserve">POST invalid JSON to /api/assistant/chat with a valid session — expect 400, not 500.</t>
  </si>
  <si>
    <t xml:space="preserve">HH-081</t>
  </si>
  <si>
    <t xml:space="preserve">apps/web/src/app/api/v1/sharepoint/files/route.ts</t>
  </si>
  <si>
    <t xml:space="preserve">18-21</t>
  </si>
  <si>
    <t xml:space="preserve">SharePoint misconfiguration throws generic Error, masked as opaque 500</t>
  </si>
  <si>
    <t xml:space="preserve">When sharePointSiteUrl is unset the route throws new Error(...) instead of an ApiError; failFromError (lib/api/errors.ts:100-106) maps non-ApiError throws to 500 'Something went wrong', so the helpful 'Set it in Settings → Integrations' message never reaches the caller.</t>
  </si>
  <si>
    <t xml:space="preserve">Integrators see an internal error for what is a configuration precondition; the intended guidance text is dead code in practice.</t>
  </si>
  <si>
    <t xml:space="preserve">Throw new ApiError('conflict', ...) or NotImplementedError with the same message so the envelope carries it with a non-500 status.</t>
  </si>
  <si>
    <t xml:space="preserve">With no M365 config, GET /api/v1/sharepoint/files returns the configuration message in the error envelope, not 'Something went wrong'.</t>
  </si>
  <si>
    <t xml:space="preserve">HH-082</t>
  </si>
  <si>
    <t xml:space="preserve">apps/web/src/lib/api/idempotency.ts</t>
  </si>
  <si>
    <t xml:space="preserve">15-17 (composite)</t>
  </si>
  <si>
    <t xml:space="preserve">Idempotency key not scoped to method+path: same key on a different endpoint replays the wrong response</t>
  </si>
  <si>
    <t xml:space="preserve">composite() is only `${apiKeyId}:${key}`. If a consumer sends Idempotency-Key K to POST /api/v1/projects and then (within 10 minutes) sends the same K to POST /api/v1/clients, handler.ts (getIdempotent call at line 81) returns the cached *project* response with a 2xx status and Idempotency-Replayed: true — the client write silently never executes and the caller receives a payload of the wrong shape. There is also no request-body fingerprint, so key reuse with a different payload replays stale data instead of being rejected.</t>
  </si>
  <si>
    <t xml:space="preserve">Consumers that generate keys per logical operation but have a bug (or a shared retry wrapper) will hit this; the failure is silent — 2xx with wrong data — which is the worst kind. Standard practice (e.g. Stripe) rejects key reuse with a different request fingerprint.</t>
  </si>
  <si>
    <t xml:space="preserve">Include method and path in the composite key, and store a sha256 of the request body alongside the cached response; on a hit with a mismatched fingerprint return 409 conflict ('Idempotency-Key reused with different request') instead of replaying. Fold into the durability fix above.</t>
  </si>
  <si>
    <t xml:space="preserve">apps/web/src/lib/api/idempotency.ts; apps/web/src/lib/api/handler.ts</t>
  </si>
  <si>
    <t xml:space="preserve">POST /projects with key K, then POST /clients with the same K: expect execution (or 409 on payload mismatch), never the cached project envelope.</t>
  </si>
  <si>
    <t xml:space="preserve">HH-083</t>
  </si>
  <si>
    <t xml:space="preserve">apps/web/src/lib/api/handler.ts</t>
  </si>
  <si>
    <t xml:space="preserve">111-113 (setIdempotent after fn completes)</t>
  </si>
  <si>
    <t xml:space="preserve">No in-flight idempotency reservation: concurrent duplicate requests both execute</t>
  </si>
  <si>
    <t xml:space="preserve">The idempotency key is only written to the cache after the handler resolves (setIdempotent at line 112). Two requests with the same Idempotency-Key arriving concurrently both miss getIdempotent (line 81) and both run fn(), so the write executes twice. Idempotency currently protects only sequential retries.</t>
  </si>
  <si>
    <t xml:space="preserve">Concurrent duplicates are the canonical case idempotency keys exist for (client timeout + immediate retry, double-click in a consumer UI). Double execution creates duplicate rows and, on the approve route, a second QBO TimeActivity push.</t>
  </si>
  <si>
    <t xml:space="preserve">Reserve the key before executing: atomically insert a 'pending' idempotency record (unique on apiKeyId+method+path+key); the loser of the race either polls briefly for the completed response or returns 409 conflict with a retry hint. Natural to implement together with the DB-backed store.</t>
  </si>
  <si>
    <t xml:space="preserve">apps/web/src/lib/api/handler.ts; apps/web/src/lib/api/idempotency.ts</t>
  </si>
  <si>
    <t xml:space="preserve">Fire two identical POSTs with the same key in parallel (Promise.all with curl/fetch); expect exactly one created row and one replayed/409 response.</t>
  </si>
  <si>
    <t xml:space="preserve">HH-084</t>
  </si>
  <si>
    <t xml:space="preserve">apps/web/src/lib/api/auth.ts</t>
  </si>
  <si>
    <t xml:space="preserve">38-43 (timingSafeEqual block)</t>
  </si>
  <si>
    <t xml:space="preserve">timingSafeEqual in requireScope is dead code that can never fail</t>
  </si>
  <si>
    <t xml:space="preserve">The ApiKey row is fetched with findUnique({ where: { hash } }) using the sha256 of the presented key (line 35), then lines 38-43 timing-safe-compare that same computed hash against apiKey.hash — the exact value the row was looked up by. The comparison is always true; the length check and timingSafeEqual are unreachable failure paths. The actual matching happens inside the DB unique-index lookup, which is not constant-time — though because keys are 32 random bytes and only their hashes are compared, index-lookup timing is not practically exploitable.</t>
  </si>
  <si>
    <t xml:space="preserve">Security theater: it reads as if constant-time verification is load-bearing when it verifies nothing, which can mislead future maintainers auditing the auth path. No exploit, but it obscures where the real security property (hashed high-entropy key, unique lookup) comes from.</t>
  </si>
  <si>
    <t xml:space="preserve">Delete lines 38-43 and note in the line-9 comment that key secrecy rests on sha256 of a 256-bit random key, or restructure to fetch by hashPrefix and timingSafeEqual the full hash if a genuine constant-time compare is wanted.</t>
  </si>
  <si>
    <t xml:space="preserve">All v1 auth tests still pass; invalid keys still 401 via the findUnique miss at line 36.</t>
  </si>
  <si>
    <t xml:space="preserve">HH-085</t>
  </si>
  <si>
    <t xml:space="preserve">317 (unauthenticated NextResponse.json of buildSpec())</t>
  </si>
  <si>
    <t xml:space="preserve">openapi.json is served unauthenticated, contradicting the README's 'health is the one unauthenticated endpoint'</t>
  </si>
  <si>
    <t xml:space="preserve">GET /api/v1/openapi.json returns the full hand-written OpenAPI spec (every endpooint, parameter, scope name) with no requireScope/apiRoute wrapper and no rate limit. apps/web/src/lib/api/README.md line 17 states GET /api/v1/health is the one unauthenticated endpoint.</t>
  </si>
  <si>
    <t xml:space="preserve">For a single-tenant internal app this is low risk, but it hands any unauthenticated visitor a complete map of the API surface and scope vocabulary for probing, and the docs drift means the team believes the surface is smaller than it is.</t>
  </si>
  <si>
    <t xml:space="preserve">Either require a scope (any authenticated key, e.g. reuse requireScope with a cheap read scope) for openapi.json since /settings/api/docs renders it server-side anyway, or update README.md to document both unauthenticated endpoints deliberately. Endpoint contracts themselves unchanged either way.</t>
  </si>
  <si>
    <t xml:space="preserve">apps/web/src/app/api/v1/openapi.json/route.ts; apps/web/src/lib/api/README.md</t>
  </si>
  <si>
    <t xml:space="preserve">curl /api/v1/openapi.json without a bearer token: expect 401 (or, if docs-only fix, README lists it as public).</t>
  </si>
  <si>
    <t xml:space="preserve">HH-086</t>
  </si>
  <si>
    <t xml:space="preserve">apps/web/src/app/(app)/projects/[id]/page.tsx</t>
  </si>
  <si>
    <t xml:space="preserve">175-198 (addLog photo handling)</t>
  </si>
  <si>
    <t xml:space="preserve">Daily-log photo upload trusts client MIME and filename extension, no size cap</t>
  </si>
  <si>
    <t xml:space="preserve">The image check is file.type.startsWith("image/") — a client-controlled header — and the saved filename keeps path.extname(file.name). A crafted request can store x.html or x.svg with type image/png into public/uploads/daily-logs, served same-origin. There is also no per-file or total size limit.</t>
  </si>
  <si>
    <t xml:space="preserve">Stored XSS from a same-origin static file (an SVG with script, or an .html upload) executed in any viewer's session; unlimited upload size lets one request fill the disk. Attackers are limited to CEO/OFFICE/FIELD accounts, which caps likelihood but not blast radius.</t>
  </si>
  <si>
    <t xml:space="preserve">Whitelist extensions (.jpg/.jpeg/.png/.webp/.heic), derive the extension from a sniffed content type (or force .jpg), reject files over a size cap, and serve uploads with Content-Disposition/nosniff headers (or via the authz route from the files finding).</t>
  </si>
  <si>
    <t xml:space="preserve">Attempt to upload evil.html with a spoofed image/png type — expect rejection; confirm an uploaded real photo still renders.</t>
  </si>
  <si>
    <t xml:space="preserve">HH-087</t>
  </si>
  <si>
    <t xml:space="preserve">packages/db/prisma/seed-real-data.ts</t>
  </si>
  <si>
    <t xml:space="preserve">44-692 (CLIENTS, NEW_LEADS, CONVERSATIONS)</t>
  </si>
  <si>
    <t xml:space="preserve">Real customer PII and private SMS transcripts committed to git in three seed files</t>
  </si>
  <si>
    <t xml:space="preserve">seed-real-data.ts (lines 44-692), seed-bt.ts (lines 176 onward, CONVERSATIONS) and seed-quo-messages.ts (lines 30-262) contain real customer full names, personal cell numbers (e.g. +14168826377, +12898304620), personal emails (lindsayclegg3@gmail.com, marshallbhh@gmail.com, davidbyrnetwo@gmail.com, coulson.lott@gmail.com), home addresses, project financials per client, family relationships, and verbatim private SMS conversations pulled from the Quo workspace. Staff personal numbers are also embedded (seed-real-data.ts lines 724, 727). Per repo rules I am naming files/fields only, not repeating values beyond what is needed to locate them.</t>
  </si>
  <si>
    <t xml:space="preserve">Committed PII in git history is effectively an exposed-secrets class problem: anyone with repo access (contractors, future collaborators, a leaked clone) gets the full customer book and private conversations — a PIPEDA exposure for an Ontario business.</t>
  </si>
  <si>
    <t xml:space="preserve">Move real-data seeding to gitignored local fixture files (JSON/XLSX under /imports, which seed-bt.ts already supports via readSheet) and strip the hardcoded arrays; then purge the three files' history (git filter-repo) or accept the branch never goes public and document that constraint.</t>
  </si>
  <si>
    <t xml:space="preserve">packages/db/prisma/seed-real-data.ts; packages/db/prisma/seed-bt.ts; packages/db/prisma/seed-quo-messages.ts</t>
  </si>
  <si>
    <t xml:space="preserve">grep the repo for the personal phone numbers/emails and confirm zero hits; confirm seeds read from gitignored fixtures.</t>
  </si>
  <si>
    <t xml:space="preserve">HH-088</t>
  </si>
  <si>
    <t xml:space="preserve">17-29 (deleteMany block)</t>
  </si>
  <si>
    <t xml:space="preserve">Seed wipe lists are stale for the current schema — FK restricts abort mid-wipe, leaving a half-deleted DB</t>
  </si>
  <si>
    <t xml:space="preserve">All three destructive seeds (seed.ts 17-29, seed-real-data.ts 705-718, seed-bt.ts 283-295) deleteMany only the 13 original models, then delete User and Client. The schema has since grown models with required FKs onto User/Project/Client with default onDelete Restrict: Contract.authorId (schema.prisma line 313), ChangeOrder.createdById (339), TimeEntry.userId (355), CrmActivity.authorId (629), ScheduleTask.projectId (483), WarrantyItem.projectId (550), Engagement.clientId (84), ApiKey.createdById (508), Invite/AssistantThread/etc. If any such rows exist, prisma.user.deleteMany() or prisma.project.deleteMany() throws a foreign-key violation AFTER messages/threads/estimates/logs were already deleted — the wipe is sequential and not wrapped in $transaction, so the database is left partially destroyed.
[regraded A1-3 S2-&gt;S3 (dev seed reliability, not a prod authz/validation gap)]</t>
  </si>
  <si>
    <t xml:space="preserve">A forced seed run (the only kind possible on Postgres) against any DB that has contracts, time entries, or CRM activity fails halfway and corrupts state rather than either succeeding or leaving data intact.</t>
  </si>
  <si>
    <t xml:space="preserve">Wrap the wipe in prisma.$transaction and extend the delete order to cover every current model (children before parents), or replace the per-table deletes with a single raw TRUNCATE ... CASCADE of all app tables.</t>
  </si>
  <si>
    <t xml:space="preserve">packages/db/prisma/seed.ts; packages/db/prisma/seed-real-data.ts; packages/db/prisma/seed-bt.ts</t>
  </si>
  <si>
    <t xml:space="preserve">On a scratch Postgres, create a Contract and TimeEntry, run the seed with SEED_FORCE=1, and confirm it either completes fully or rolls back leaving prior data intact.</t>
  </si>
  <si>
    <t xml:space="preserve">HH-089</t>
  </si>
  <si>
    <t xml:space="preserve">components+css</t>
  </si>
  <si>
    <t xml:space="preserve">apps/web/src/components/DailyLogStructuredFields.tsx; apps/web/src/app/print/contracts/[id]/page.tsx</t>
  </si>
  <si>
    <t xml:space="preserve">components/DailyLogStructuredFields.tsx:125-141 (+DailyLogForm/TimeClockTab/TimeReviewTab/DemoRoleSwitcher/layout) · print/contracts/[id]/page.tsx:54</t>
  </si>
  <si>
    <t xml:space="preserve">Hardcoded hex/palette colors where liquid-glass tokens exist</t>
  </si>
  <si>
    <t xml:space="preserve">Numerous components inline rgba/#hex palette values (rose/emerald/amber, #eab308, #ef4444) instead of the --hh-* tokens, and the print contract hardcodes accent #E8621A which disagrees with the brand token.
[Also reported by: A8 — 2 findings merged]</t>
  </si>
  <si>
    <t xml:space="preserve">Violates the tokens-only UI rule; colors drift from the brand and can't be retuned centrally.</t>
  </si>
  <si>
    <t xml:space="preserve">Replace inline colors with the corresponding --hh-* tokens / badge classes.</t>
  </si>
  <si>
    <t xml:space="preserve">apps/web/src/components/DailyLogStructuredFields.tsx; apps/web/src/components/DailyLogForm.tsx; apps/web/src/components/TimeClockTab.tsx; apps/web/src/components/TimeReviewTab.tsx; apps/web/src/components/DemoRoleSwitcher.tsx; apps/web/src/app/layout.tsx; apps/web/src/app/globals.css; apps/web/src/app/print/contracts/[id]/page.tsx</t>
  </si>
  <si>
    <t xml:space="preserve">Grep for rgba(/# in components returns only token references; print accent matches brand.</t>
  </si>
  <si>
    <t xml:space="preserve">HH-090</t>
  </si>
  <si>
    <t xml:space="preserve">apps/web/src/components/DailyLogStructuredFields.tsx</t>
  </si>
  <si>
    <t xml:space="preserve">60</t>
  </si>
  <si>
    <t xml:space="preserve">References undefined CSS variable --ink-muted (never declared anywhere)</t>
  </si>
  <si>
    <t xml:space="preserve">SectionTitle sets `style={{ color: "var(--ink-muted)" }}` but no stylesheet defines `--ink-muted` (grep over the whole app finds only usages: this file plus projects/[id]/WarrantyPanel.tsx:145,158,177). The declaration is invalid at computed-value time, so the color falls back to the inherited body color — section titles render full-brightness instead of muted, and WarrantyPanel's inactive steps lose their dimmed state.</t>
  </si>
  <si>
    <t xml:space="preserve">The token system defines `--text-muted` (globals.css:34) and the Tailwind alias `text-ink-muted` (tailwind.config.ts:24); `--ink-muted` looks like a mis-remembered name that silently no-ops.</t>
  </si>
  <si>
    <t xml:space="preserve">Replace `var(--ink-muted)` with `var(--text-muted)` (or the `text-ink-muted` utility) in DailyLogStructuredFields and WarrantyPanel, or add `--ink-muted: var(--text-muted);` to :root in globals.css.</t>
  </si>
  <si>
    <t xml:space="preserve">apps/web/src/components/DailyLogStructuredFields.tsx; apps/web/src/app/(app)/projects/[id]/WarrantyPanel.tsx</t>
  </si>
  <si>
    <t xml:space="preserve">Inspect a daily-log form's "Site conditions" section title in devtools: computed color equals --text-muted, not the inherited primary text color.</t>
  </si>
  <si>
    <t xml:space="preserve">HH-091</t>
  </si>
  <si>
    <t xml:space="preserve">34 (--text-muted) and 885 (--hh-text-3), 1278 (SaaS --hh-text-3)</t>
  </si>
  <si>
    <t xml:space="preserve">Muted-text tokens fall below WCAG AA at the 11-12px sizes they are used at</t>
  </si>
  <si>
    <t xml:space="preserve">`--text-muted`/`--hh-text-3` are #71767F on the #0A0B0D canvas (≈4.2:1, worse over the lighter glass panels), and the SaaS skin sets `--hh-text-3: #8A8F98` on #FFFFFF panels (≈3.3:1). These tokens drive `.hh-label` (11px, globals.css:1011), `.hh-caption` (12px, :1083), and `.section-label` — normal-size text requiring 4.5:1.
[regraded A9-2 S3-&gt;S4 (contrast/a11y polish per rubric)]</t>
  </si>
  <si>
    <t xml:space="preserve">The project instructions explicitly require "Keep text WCAG AA over glass". Every card label, caption, table header, and section label app-wide is rendered in a failing token, in both the glass-dark and SaaS-light skins.</t>
  </si>
  <si>
    <t xml:space="preserve">Lighten the dark token to ≈#868C96 (≥4.5:1 on #0A0B0D and on panel glass) and darken the SaaS token to ≈#6E7480 (≥4.5:1 on white); update --text-muted, --hh-text-3, and the SaaS override together so the hierarchy stays consistent.</t>
  </si>
  <si>
    <t xml:space="preserve">Run a contrast checker (or the design:accessibility-review flow) on .hh-label/.hh-caption over --bg-canvas, --panel-bg glass, and SaaS white; all ≥4.5:1.</t>
  </si>
  <si>
    <t xml:space="preserve">HH-092</t>
  </si>
  <si>
    <t xml:space="preserve">apps/web/src/components/ui/Toast.tsx</t>
  </si>
  <si>
    <t xml:space="preserve">26-28 (also Modal.tsx:43, Input.tsx:13)</t>
  </si>
  <si>
    <t xml:space="preserve">Dead ui/ kit with broken classes: invalid *-450 Tailwind shades, no-op bg-glass-bg/90 alpha, hardcoded text-white</t>
  </si>
  <si>
    <t xml:space="preserve">Toast uses `text-emerald-450`, `text-amber-450`, `text-rose-450` — shades that don't exist in Tailwind or the config, so no CSS is generated and all status icons render currentColor white. Modal uses `bg-glass-bg/90`; the glass.bg color is `var(--glass-bg)` without an &lt;alpha-value&gt; placeholder, so the /90 modifier is dropped, and it hardcodes `text-white` (unreadable on the SaaS light skin where --glass-bg is solid #F4F5F7). Grep shows Toast, Modal, Input, Button, Badge, and GlassCard are imported nowhere — only GlassSidebar (Sidebar.tsx:30) and GlassTopbar ((app)/layout.tsx:8) are used. Related: AssistantPanel.tsx:277 uses `border-glass-border-strong`, also not a configured Tailwind color, so the confirm card's border color is the preflight default.</t>
  </si>
  <si>
    <t xml:space="preserve">Dead components with latent bugs invite future breakage the moment someone imports them; the broken classes are silent (Tailwind just omits them).</t>
  </si>
  <si>
    <t xml:space="preserve">Delete the six unused ui/ components (or fix them: real shade names / token colors, alpha via color-mix or a dedicated token, themed text color). Add a `glass-border-strong` color to tailwind.config or switch AssistantPanel to an inline `border-[var(--glass-border-strong)]`.</t>
  </si>
  <si>
    <t xml:space="preserve">apps/web/src/components/ui/Toast.tsx; apps/web/src/components/ui/Modal.tsx; apps/web/src/components/ui/Input.tsx; apps/web/src/components/ui/Button.tsx; apps/web/src/components/ui/Badge.tsx; apps/web/src/components/ui/GlassCard.tsx; apps/web/src/components/assistant/AssistantPanel.tsx; apps/web/tailwind.config.ts</t>
  </si>
  <si>
    <t xml:space="preserve">tsc + grep confirm no remaining imports; if kept, render Toast in each type and confirm icon colors differ.</t>
  </si>
  <si>
    <t xml:space="preserve">HH-093</t>
  </si>
  <si>
    <t xml:space="preserve">apps/web/src/components/DailyLogForm.tsx</t>
  </si>
  <si>
    <t xml:space="preserve">157-164 (remove-photo X, p-1 ≈20px) and 173-182 (Add Photos ≈30px)</t>
  </si>
  <si>
    <t xml:space="preserve">Tap targets well under 44px on mobile-primary flows (field daily logs, settings row actions)</t>
  </si>
  <si>
    <t xml:space="preserve">The daily-log photo remove button is `p-1` around a 12px icon (~20px square); "Add Photos" is `px-2.5 py-1.5 text-xs` (~30px tall). Globally, `.btn` has `min-height: 36px` (globals.css:327), `.hh-close` is 28×28 (globals.css:1099), and the `btn-ghost !p-1.5` icon-button pattern (~28px) is used for destructive row actions — InvitePanel.tsx:85-110 resend/revoke, EngagementJobs.tsx:49-56 detach, JobsBoard.tsx:174-179 delete view.</t>
  </si>
  <si>
    <t xml:space="preserve">Daily logs are the Field role's core mobile workflow and clients use phones too; sub-44px targets fail the 44px minimum and make accidental destructive taps (revoke invite, detach job) likely. TimeClockTab got this right (min-h-[64px] clock buttons) — the pattern just wasn't applied elsewhere.</t>
  </si>
  <si>
    <t xml:space="preserve">Raise .btn min-height to 44px on touch/coarse pointers (`@media (pointer: coarse)`), size .hh-close and the icon-button pattern to ≥44px hit area (padding or ::before hit-slop), and enlarge the photo-remove X to at least h-11 w-11 with an inset icon.</t>
  </si>
  <si>
    <t xml:space="preserve">apps/web/src/app/globals.css; apps/web/src/components/DailyLogForm.tsx; apps/web/src/components/settings/InvitePanel.tsx; apps/web/src/components/jobs/EngagementJobs.tsx</t>
  </si>
  <si>
    <t xml:space="preserve">In responsive devtools at 390px width, measure the photo X, hh-close, and invite revoke buttons: computed hit area ≥44×44.</t>
  </si>
  <si>
    <t xml:space="preserve">HH-094</t>
  </si>
  <si>
    <t xml:space="preserve">apps/web/src/components/PageHeader.tsx</t>
  </si>
  <si>
    <t xml:space="preserve">36-37</t>
  </si>
  <si>
    <t xml:space="preserve">dark: variants track OS media query, not the app's .light class toggle (no darkMode config)</t>
  </si>
  <si>
    <t xml:space="preserve">tailwind.config.ts sets no `darkMode` option, so Tailwind defaults to the `media` strategy, but the app's theme is toggled by a `.light` class on &lt;html&gt; (ThemeToggle.tsx:19-25, layout.tsx bootstrap script). StatCard's `text-emerald-600 dark:text-emerald-400` / `text-amber-600 dark:text-amber-400` therefore follow the OS preference: a user with OS-light + app-dark (the default theme) gets the dark-green/amber 600 shades on the near-black canvas, and OS-dark + app-light gets the pale 400 shades on the navy photo-glass.</t>
  </si>
  <si>
    <t xml:space="preserve">KPI tones are the one place `dark:` is used in components, and they silently desync from the in-app theme switch; globals.css already ships the correct token-based override (.light .hh-kpi-num[data-tone] at line 260) which papers over only the light half.</t>
  </si>
  <si>
    <t xml:space="preserve">Drop the dark: variants and color tones with tokens: `good` → `color: var(--hh-dot-green)`, `warn` → `var(--hh-dot-orange)` (the data-tone attribute is already emitted). Optionally set `darkMode: ["class", ":not(.light) &amp;"]`-style config if dark: variants are ever needed again.</t>
  </si>
  <si>
    <t xml:space="preserve">apps/web/src/components/PageHeader.tsx; apps/web/tailwind.config.ts</t>
  </si>
  <si>
    <t xml:space="preserve">Toggle the in-app theme with OS set to the opposite scheme; StatCard tone colors must follow the app toggle in both directions.</t>
  </si>
  <si>
    <t xml:space="preserve">HH-095</t>
  </si>
  <si>
    <t xml:space="preserve">apps/web/src/components/CountUp.tsx</t>
  </si>
  <si>
    <t xml:space="preserve">29-47</t>
  </si>
  <si>
    <t xml:space="preserve">CountUp animation and animate-ping dots ignore prefers-reduced-motion</t>
  </si>
  <si>
    <t xml:space="preserve">CountUp runs a 1s requestAnimationFrame number animation on every KPI (used by StatCard in every PageHeader) with no reduced-motion check; the animation also strips the minus sign of negative values while animating (numericStr = value.replace(/[^0-9]/g, "")). The live "Active" pulse dots use Tailwind `animate-ping` ungated at TimeClockTab.tsx:131, TimeReviewTab.tsx:110 and :173.</t>
  </si>
  <si>
    <t xml:space="preserve">Project instructions require honoring prefers-reduced-motion; globals.css gates all CSS transitions/reveals but these JS/utility animations bypass it. dashboard/Charts.tsx shows the intended pattern (useReducedMotion hook, lines 39-49).</t>
  </si>
  <si>
    <t xml:space="preserve">In CountUp, check `matchMedia("(prefers-reduced-motion: reduce)")` and set the final value immediately (reuse Charts.tsx's useReducedMotion); add a global `@media (prefers-reduced-motion: reduce) { .animate-ping { animation: none; } }` rule or motion-safe: variants on the ping spans.</t>
  </si>
  <si>
    <t xml:space="preserve">apps/web/src/components/CountUp.tsx; apps/web/src/app/globals.css; apps/web/src/components/TimeClockTab.tsx; apps/web/src/components/TimeReviewTab.tsx</t>
  </si>
  <si>
    <t xml:space="preserve">Enable reduced motion in OS settings: dashboard KPIs appear instantly at final value; active-session dots are static.</t>
  </si>
  <si>
    <t xml:space="preserve">HH-096</t>
  </si>
  <si>
    <t xml:space="preserve">1036-1037</t>
  </si>
  <si>
    <t xml:space="preserve">hh-row--flat hover rule contradicts its own comment and reinstates lift/hover-fill on non-clickable rows</t>
  </si>
  <si>
    <t xml:space="preserve">The comment says "Integration containers are not click targets — suppress lift and hover-fill", but the very next rule `.hh-row.hh-row--flat:hover { transform: translateX(3px); background: var(--hh-row-hover); }` re-applies both, overriding the intended `.hh-row--flat:hover { background: var(--hh-row); }` at line 1035. Base `.hh-row` also sets `cursor: pointer` (line 1030), so every integration card, table row wrapper, and static list row shows a pointer cursor and slides 3px on hover.</t>
  </si>
  <si>
    <t xml:space="preserve">Static settings cards (M365Card, QuoCard, SharePointCard, etc. all use hh-row hh-row--flat) advertise clickability they don't have — a small but pervasive affordance lie, and the code comment actively misleads the next editor.</t>
  </si>
  <si>
    <t xml:space="preserve">Delete the contradictory rule at 1037, and move `cursor: pointer` off the base `.hh-row` onto an explicit `.hh-row--click` (or apply cursor-pointer per usage) so flat/static rows get the default cursor and no hover motion.</t>
  </si>
  <si>
    <t xml:space="preserve">Hover an integration card in Settings: no translate, no row-hover fill, default cursor; clickable rows (ApiKeysManager list, JobsTable) still show pointer + hover.</t>
  </si>
  <si>
    <t xml:space="preserve">HH-097</t>
  </si>
  <si>
    <t xml:space="preserve">34-39 (ViewProps) and 224-263 (view mode)</t>
  </si>
  <si>
    <t xml:space="preserve">DailyLogStructuredFields view mode (incl. isClientView internalNotes gating) is dead code</t>
  </si>
  <si>
    <t xml:space="preserve">Grep shows the only consumer is DailyLogForm.tsx:145 with mode="form"; the entire mode="view" branch — including the isClientView switch that decides whether internalNotes render — is never invoked.</t>
  </si>
  <si>
    <t xml:space="preserve">Beyond dead weight, it's a latent data-isolation trap: the component is a client component, so if a future page wires view mode with isClientView=true and passes the full `values` object, internalNotes would ship in the RSC payload to the client's browser even though not rendered. Server-side omission (never selecting internalNotes for CLIENT role) must remain the real gate; this prop suggests otherwise.</t>
  </si>
  <si>
    <t xml:space="preserve">Either delete the view branch until a consumer exists, or document (and enforce in the consuming server component) that internalNotes must be stripped server-side for client viewers before props are passed — the isClientView prop must never be the only gate.</t>
  </si>
  <si>
    <t xml:space="preserve">grep for `mode="view"` stays empty, or the new consumer's server query omits internalNotes for CLIENT sessions (check the serialized flight payload in devtools).</t>
  </si>
  <si>
    <t xml:space="preserve">HH-098</t>
  </si>
  <si>
    <t xml:space="preserve">apps/web/src/components/SwaggerDocs.tsx</t>
  </si>
  <si>
    <t xml:space="preserve">9-10</t>
  </si>
  <si>
    <t xml:space="preserve">Swagger UI JS/CSS loaded at runtime from unpkg CDN into the authenticated app</t>
  </si>
  <si>
    <t xml:space="preserve">SwaggerDocs injects `https://unpkg.com/swagger-ui-dist@5/swagger-ui-bundle.js` (floating-major pin) and its CSS into document.head/body of the signed-in app and executes it.
[regraded A9-1 S2-&gt;S3 (runtime CDN supply-chain, contained)]</t>
  </si>
  <si>
    <t xml:space="preserve">Any compromise or account takeover of the unpkg package publishes arbitrary script into an authenticated origin with the user's session cookie — full XSS with no SRI hash and no version pin below the major. It also breaks the docs page entirely when offline/self-hosted.</t>
  </si>
  <si>
    <t xml:space="preserve">Vendor swagger-ui-dist as an npm dependency (or copy the exact-version assets into /public) and import locally; at minimum pin an exact version and add an integrity (SRI) attribute to the link/script tags.</t>
  </si>
  <si>
    <t xml:space="preserve">apps/web/src/components/SwaggerDocs.tsx; apps/web/package.json</t>
  </si>
  <si>
    <t xml:space="preserve">Load the API docs page with network devtools open: no requests to unpkg.com; spec still renders from /api/v1/openapi.json.</t>
  </si>
  <si>
    <t xml:space="preserve">HH-099</t>
  </si>
  <si>
    <t xml:space="preserve">apps/web/src/app/(app)/templates/templateActions.ts</t>
  </si>
  <si>
    <t xml:space="preserve">updateScheduleItem (lines 109-118) and updateBudgetItem (lines 162-167)</t>
  </si>
  <si>
    <t xml:space="preserve">Template update actions drop the numeric validation their create counterparts have</t>
  </si>
  <si>
    <t xml:space="preserve">addScheduleItem validates isNaN/negative offsetStartDays and durationDays (lines 88-89) and addBudgetItem validates budgetCents (line 145), but updateScheduleItem writes parseInt results with no NaN/negative check and updateBudgetItem has no isNaN or &gt;=0 check on budgetCents, so a non-numeric or negative form value produces a Prisma error or a negative budget.</t>
  </si>
  <si>
    <t xml:space="preserve">Same inputs, asymmetric validation — the edit path can write NaN (runtime 500) or negative money the create path rejects.</t>
  </si>
  <si>
    <t xml:space="preserve">Copy the isNaN/range checks from the add* actions into updateScheduleItem and updateBudgetItem.</t>
  </si>
  <si>
    <t xml:space="preserve">Submit updateBudgetItem with budget='abc' and '-5'; both should return { ok:false } instead of throwing or persisting.</t>
  </si>
  <si>
    <t xml:space="preserve">HH-100</t>
  </si>
  <si>
    <t xml:space="preserve">apps/web/src/app/(app)/import/page.tsx</t>
  </si>
  <si>
    <t xml:space="preserve">importCsv row loop (lines 45-126)</t>
  </si>
  <si>
    <t xml:space="preserve">CSV import runs unbounded sequential queries with no transaction or size cap</t>
  </si>
  <si>
    <t xml:space="preserve">Each row issues up to 3 sequential awaited queries (findFirst client, create client, findFirst/create project) with no row limit, no batching, and no transaction. A large HubSpot export (thousands of rows) runs for minutes inside one server action and, if it times out or errors mid-file, leaves a partial import with no report of where it stopped.</t>
  </si>
  <si>
    <t xml:space="preserve">This is the designated one-shot cutover path for 451+ real customers; a mid-import failure against the shared Neon database is plausible and confusing (re-run is mostly idempotent via email/name match, but rows without email always create duplicates on retry).</t>
  </si>
  <si>
    <t xml:space="preserve">Chunk rows (e.g. 50 per $transaction), pre-fetch existing clients by email in one query, and cap/validate file size; report the last processed row on failure.</t>
  </si>
  <si>
    <t xml:space="preserve">Import a 1000-row CSV twice: first run completes in seconds; second run creates 0 duplicates including rows without email.</t>
  </si>
  <si>
    <t xml:space="preserve">Open (Confirmed, unfixed)</t>
  </si>
  <si>
    <t xml:space="preserve">Health score</t>
  </si>
  <si>
    <t xml:space="preserve">cross-cutting (no single folder owns)</t>
  </si>
  <si>
    <t xml:space="preserve">Health score = 100 − (15·S1 + 8·S2 + 3·S3 + 1·S4), floor 0. Rejected rows excluded from counts.</t>
  </si>
  <si>
    <t xml:space="preserve">HENLEY HUB AUDIT — SUMMARY</t>
  </si>
  <si>
    <t xml:space="preserve">Total rows filed</t>
  </si>
  <si>
    <t xml:space="preserve">Still on Verify</t>
  </si>
  <si>
    <t xml:space="preserve">Must be 0 at audit acceptance.</t>
  </si>
  <si>
    <t xml:space="preserve">By severity (excl. Rejected)</t>
  </si>
  <si>
    <t xml:space="preserve">READINESS CHECKS</t>
  </si>
  <si>
    <t xml:space="preserve">Critical (S1) still unfixed</t>
  </si>
  <si>
    <t xml:space="preserve">S1 rows Confirmed but not yet Fixed.</t>
  </si>
  <si>
    <t xml:space="preserve">Rows with no file path yet</t>
  </si>
  <si>
    <t xml:space="preserve">MUST be 0 before this register is accepted.</t>
  </si>
  <si>
    <t xml:space="preserve">Fixed rows missing a commit hash</t>
  </si>
  <si>
    <t xml:space="preserve">Fix phase gate: every Fixed row needs a hash.</t>
  </si>
</sst>
</file>

<file path=xl/styles.xml><?xml version="1.0" encoding="utf-8"?>
<styleSheet xmlns="http://schemas.openxmlformats.org/spreadsheetml/2006/main">
  <numFmts count="1">
    <numFmt numFmtId="164" formatCode="General"/>
  </numFmts>
  <fonts count="9">
    <font>
      <sz val="11"/>
      <color theme="1"/>
      <name val="Calibri"/>
      <family val="2"/>
      <charset val="1"/>
    </font>
    <font>
      <sz val="10"/>
      <name val="Arial"/>
      <family val="0"/>
    </font>
    <font>
      <sz val="10"/>
      <name val="Arial"/>
      <family val="0"/>
    </font>
    <font>
      <sz val="10"/>
      <name val="Arial"/>
      <family val="0"/>
    </font>
    <font>
      <b val="true"/>
      <sz val="14"/>
      <name val="Arial"/>
      <family val="0"/>
      <charset val="1"/>
    </font>
    <font>
      <sz val="10"/>
      <name val="Arial"/>
      <family val="0"/>
      <charset val="1"/>
    </font>
    <font>
      <b val="true"/>
      <sz val="10"/>
      <name val="Arial"/>
      <family val="0"/>
      <charset val="1"/>
    </font>
    <font>
      <b val="true"/>
      <sz val="10"/>
      <color rgb="FFFFFFFF"/>
      <name val="Arial"/>
      <family val="0"/>
      <charset val="1"/>
    </font>
    <font>
      <i val="true"/>
      <sz val="9"/>
      <name val="Arial"/>
      <family val="0"/>
      <charset val="1"/>
    </font>
  </fonts>
  <fills count="4">
    <fill>
      <patternFill patternType="none"/>
    </fill>
    <fill>
      <patternFill patternType="gray125"/>
    </fill>
    <fill>
      <patternFill patternType="solid">
        <fgColor rgb="FF1A1A1A"/>
        <bgColor rgb="FF333300"/>
      </patternFill>
    </fill>
    <fill>
      <patternFill patternType="solid">
        <fgColor rgb="FFFFF4D6"/>
        <bgColor rgb="FFFFFFFF"/>
      </patternFill>
    </fill>
  </fills>
  <borders count="2">
    <border diagonalUp="false" diagonalDown="false">
      <left/>
      <right/>
      <top/>
      <bottom/>
      <diagonal/>
    </border>
    <border diagonalUp="false" diagonalDown="false">
      <left style="thin">
        <color rgb="FFD0D0D0"/>
      </left>
      <right style="thin">
        <color rgb="FFD0D0D0"/>
      </right>
      <top style="thin">
        <color rgb="FFD0D0D0"/>
      </top>
      <bottom style="thin">
        <color rgb="FFD0D0D0"/>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3">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4" fontId="7" fillId="2" borderId="0" xfId="0" applyFont="true" applyBorder="false" applyAlignment="true" applyProtection="false">
      <alignment horizontal="general" vertical="bottom" textRotation="0" wrapText="fals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4" fontId="5" fillId="3" borderId="1" xfId="0" applyFont="true" applyBorder="true" applyAlignment="true" applyProtection="false">
      <alignment horizontal="general" vertical="top" textRotation="0" wrapText="true" indent="0" shrinkToFit="false"/>
      <protection locked="true" hidden="false"/>
    </xf>
    <xf numFmtId="164" fontId="5" fillId="0" borderId="1" xfId="0" applyFont="true" applyBorder="true" applyAlignment="true" applyProtection="false">
      <alignment horizontal="general" vertical="bottom" textRotation="0" wrapText="false" indent="0" shrinkToFit="false"/>
      <protection locked="true" hidden="false"/>
    </xf>
    <xf numFmtId="164" fontId="5" fillId="0" borderId="1" xfId="0" applyFont="true" applyBorder="true" applyAlignment="fals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4">
    <dxf>
      <fill>
        <patternFill patternType="solid">
          <fgColor rgb="FF1A1A1A"/>
          <bgColor rgb="FF000000"/>
        </patternFill>
      </fill>
    </dxf>
    <dxf>
      <fill>
        <patternFill patternType="solid">
          <fgColor rgb="FFFFF4D6"/>
          <bgColor rgb="FF000000"/>
        </patternFill>
      </fill>
    </dxf>
    <dxf>
      <fill>
        <patternFill patternType="solid">
          <bgColor rgb="FF000000"/>
        </patternFill>
      </fill>
    </dxf>
    <dxf>
      <fill>
        <patternFill patternType="solid">
          <fgColor rgb="FFFFFFFF"/>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4D6"/>
      <rgbColor rgb="FFCCFFFF"/>
      <rgbColor rgb="FF660066"/>
      <rgbColor rgb="FFFF8080"/>
      <rgbColor rgb="FF0066CC"/>
      <rgbColor rgb="FFD0D0D0"/>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1A1A1A"/>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4.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B16"/>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4"/>
    <col collapsed="false" customWidth="true" hidden="false" outlineLevel="0" max="2" min="2" style="1" width="110"/>
  </cols>
  <sheetData>
    <row r="1" customFormat="false" ht="17.25" hidden="false" customHeight="true" outlineLevel="0" collapsed="false">
      <c r="B1" s="2" t="s">
        <v>0</v>
      </c>
    </row>
    <row r="2" customFormat="false" ht="15" hidden="false" customHeight="true" outlineLevel="0" collapsed="false">
      <c r="B2" s="3"/>
    </row>
    <row r="3" customFormat="false" ht="23.25" hidden="false" customHeight="true" outlineLevel="0" collapsed="false">
      <c r="B3" s="3" t="s">
        <v>1</v>
      </c>
    </row>
    <row r="4" customFormat="false" ht="15" hidden="false" customHeight="true" outlineLevel="0" collapsed="false">
      <c r="B4" s="3" t="s">
        <v>2</v>
      </c>
    </row>
    <row r="5" customFormat="false" ht="15" hidden="false" customHeight="true" outlineLevel="0" collapsed="false">
      <c r="B5" s="3"/>
    </row>
    <row r="6" customFormat="false" ht="15" hidden="false" customHeight="true" outlineLevel="0" collapsed="false">
      <c r="B6" s="4" t="s">
        <v>3</v>
      </c>
    </row>
    <row r="7" customFormat="false" ht="34.5" hidden="false" customHeight="true" outlineLevel="0" collapsed="false">
      <c r="B7" s="3" t="s">
        <v>4</v>
      </c>
    </row>
    <row r="8" customFormat="false" ht="15" hidden="false" customHeight="true" outlineLevel="0" collapsed="false">
      <c r="B8" s="3"/>
    </row>
    <row r="9" customFormat="false" ht="15" hidden="false" customHeight="true" outlineLevel="0" collapsed="false">
      <c r="B9" s="4" t="s">
        <v>5</v>
      </c>
    </row>
    <row r="10" customFormat="false" ht="45.75" hidden="false" customHeight="true" outlineLevel="0" collapsed="false">
      <c r="B10" s="3" t="s">
        <v>6</v>
      </c>
    </row>
    <row r="11" customFormat="false" ht="15" hidden="false" customHeight="true" outlineLevel="0" collapsed="false">
      <c r="B11" s="3"/>
    </row>
    <row r="12" customFormat="false" ht="15" hidden="false" customHeight="true" outlineLevel="0" collapsed="false">
      <c r="B12" s="4" t="s">
        <v>7</v>
      </c>
    </row>
    <row r="13" customFormat="false" ht="34.5" hidden="false" customHeight="true" outlineLevel="0" collapsed="false">
      <c r="B13" s="3" t="s">
        <v>8</v>
      </c>
    </row>
    <row r="14" customFormat="false" ht="15" hidden="false" customHeight="true" outlineLevel="0" collapsed="false">
      <c r="B14" s="3"/>
    </row>
    <row r="15" customFormat="false" ht="15" hidden="false" customHeight="true" outlineLevel="0" collapsed="false">
      <c r="B15" s="4" t="s">
        <v>9</v>
      </c>
    </row>
    <row r="16" customFormat="false" ht="34.5" hidden="false" customHeight="true" outlineLevel="0" collapsed="false">
      <c r="B16" s="3" t="s">
        <v>10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4"/>
    <col collapsed="false" customWidth="true" hidden="false" outlineLevel="0" max="2" min="2" style="1" width="10"/>
    <col collapsed="false" customWidth="true" hidden="false" outlineLevel="0" max="3" min="3" style="1" width="95"/>
  </cols>
  <sheetData>
    <row r="1" customFormat="false" ht="15" hidden="false" customHeight="true" outlineLevel="0" collapsed="false">
      <c r="A1" s="5" t="s">
        <v>11</v>
      </c>
      <c r="B1" s="6"/>
      <c r="C1" s="3"/>
    </row>
    <row r="2" customFormat="false" ht="23.25" hidden="false" customHeight="true" outlineLevel="0" collapsed="false">
      <c r="A2" s="5" t="s">
        <v>12</v>
      </c>
      <c r="B2" s="6" t="s">
        <v>13</v>
      </c>
      <c r="C2" s="3" t="s">
        <v>14</v>
      </c>
    </row>
    <row r="3" customFormat="false" ht="23.25" hidden="false" customHeight="true" outlineLevel="0" collapsed="false">
      <c r="A3" s="5" t="s">
        <v>15</v>
      </c>
      <c r="B3" s="6" t="s">
        <v>16</v>
      </c>
      <c r="C3" s="3" t="s">
        <v>17</v>
      </c>
    </row>
    <row r="4" customFormat="false" ht="23.25" hidden="false" customHeight="true" outlineLevel="0" collapsed="false">
      <c r="A4" s="5" t="s">
        <v>18</v>
      </c>
      <c r="B4" s="6" t="s">
        <v>19</v>
      </c>
      <c r="C4" s="3" t="s">
        <v>20</v>
      </c>
    </row>
    <row r="5" customFormat="false" ht="15" hidden="false" customHeight="true" outlineLevel="0" collapsed="false">
      <c r="A5" s="5" t="s">
        <v>21</v>
      </c>
      <c r="B5" s="6" t="s">
        <v>22</v>
      </c>
      <c r="C5" s="3" t="s">
        <v>23</v>
      </c>
    </row>
    <row r="6" customFormat="false" ht="15" hidden="false" customHeight="true" outlineLevel="0" collapsed="false">
      <c r="A6" s="5"/>
      <c r="B6" s="6"/>
      <c r="C6" s="3"/>
    </row>
    <row r="7" customFormat="false" ht="15" hidden="false" customHeight="true" outlineLevel="0" collapsed="false">
      <c r="A7" s="5" t="s">
        <v>24</v>
      </c>
      <c r="B7" s="6"/>
      <c r="C7" s="3"/>
    </row>
    <row r="8" customFormat="false" ht="15" hidden="false" customHeight="true" outlineLevel="0" collapsed="false">
      <c r="A8" s="5" t="s">
        <v>25</v>
      </c>
      <c r="B8" s="6" t="s">
        <v>26</v>
      </c>
      <c r="C8" s="3" t="s">
        <v>27</v>
      </c>
    </row>
    <row r="9" customFormat="false" ht="15" hidden="false" customHeight="true" outlineLevel="0" collapsed="false">
      <c r="A9" s="5" t="s">
        <v>28</v>
      </c>
      <c r="B9" s="6" t="s">
        <v>19</v>
      </c>
      <c r="C9" s="3" t="s">
        <v>29</v>
      </c>
    </row>
    <row r="10" customFormat="false" ht="15" hidden="false" customHeight="true" outlineLevel="0" collapsed="false">
      <c r="A10" s="5" t="s">
        <v>30</v>
      </c>
      <c r="B10" s="6" t="s">
        <v>22</v>
      </c>
      <c r="C10" s="3" t="s">
        <v>31</v>
      </c>
    </row>
    <row r="11" customFormat="false" ht="15" hidden="false" customHeight="true" outlineLevel="0" collapsed="false">
      <c r="A11" s="5"/>
      <c r="B11" s="6"/>
      <c r="C11" s="3"/>
    </row>
    <row r="12" customFormat="false" ht="15" hidden="false" customHeight="true" outlineLevel="0" collapsed="false">
      <c r="A12" s="5" t="s">
        <v>32</v>
      </c>
      <c r="B12" s="6"/>
      <c r="C12" s="3"/>
    </row>
    <row r="13" customFormat="false" ht="15" hidden="false" customHeight="true" outlineLevel="0" collapsed="false">
      <c r="A13" s="5" t="s">
        <v>33</v>
      </c>
      <c r="B13" s="6" t="s">
        <v>22</v>
      </c>
      <c r="C13" s="3" t="s">
        <v>34</v>
      </c>
    </row>
    <row r="14" customFormat="false" ht="15" hidden="false" customHeight="true" outlineLevel="0" collapsed="false">
      <c r="A14" s="5" t="s">
        <v>35</v>
      </c>
      <c r="B14" s="6" t="s">
        <v>19</v>
      </c>
      <c r="C14" s="3" t="s">
        <v>36</v>
      </c>
    </row>
    <row r="15" customFormat="false" ht="15" hidden="false" customHeight="true" outlineLevel="0" collapsed="false">
      <c r="A15" s="5" t="s">
        <v>37</v>
      </c>
      <c r="B15" s="6" t="s">
        <v>26</v>
      </c>
      <c r="C15" s="3" t="s">
        <v>38</v>
      </c>
    </row>
    <row r="16" customFormat="false" ht="15" hidden="false" customHeight="true" outlineLevel="0" collapsed="false">
      <c r="A16" s="5"/>
      <c r="B16" s="6"/>
      <c r="C16" s="3"/>
    </row>
    <row r="17" customFormat="false" ht="23.25" hidden="false" customHeight="true" outlineLevel="0" collapsed="false">
      <c r="A17" s="5" t="s">
        <v>39</v>
      </c>
      <c r="B17" s="6"/>
      <c r="C17" s="3" t="s">
        <v>40</v>
      </c>
    </row>
    <row r="18" customFormat="false" ht="15" hidden="false" customHeight="true" outlineLevel="0" collapsed="false">
      <c r="A18" s="5"/>
      <c r="B18" s="6"/>
      <c r="C18" s="3"/>
    </row>
    <row r="19" customFormat="false" ht="23.25" hidden="false" customHeight="true" outlineLevel="0" collapsed="false">
      <c r="A19" s="5" t="s">
        <v>41</v>
      </c>
      <c r="B19" s="6"/>
      <c r="C19" s="3" t="s">
        <v>42</v>
      </c>
    </row>
    <row r="20" customFormat="false" ht="15" hidden="false" customHeight="true" outlineLevel="0" collapsed="false">
      <c r="A20" s="5"/>
      <c r="B20" s="6"/>
      <c r="C20" s="3"/>
    </row>
    <row r="21" customFormat="false" ht="15" hidden="false" customHeight="true" outlineLevel="0" collapsed="false">
      <c r="A21" s="5" t="s">
        <v>43</v>
      </c>
      <c r="B21" s="6"/>
      <c r="C21" s="3"/>
    </row>
    <row r="22" customFormat="false" ht="15" hidden="false" customHeight="true" outlineLevel="0" collapsed="false">
      <c r="A22" s="5" t="s">
        <v>44</v>
      </c>
      <c r="B22" s="6"/>
      <c r="C22" s="3" t="s">
        <v>45</v>
      </c>
    </row>
    <row r="23" customFormat="false" ht="15" hidden="false" customHeight="true" outlineLevel="0" collapsed="false">
      <c r="A23" s="5" t="s">
        <v>46</v>
      </c>
      <c r="B23" s="6"/>
      <c r="C23" s="3" t="s">
        <v>47</v>
      </c>
    </row>
    <row r="24" customFormat="false" ht="15" hidden="false" customHeight="true" outlineLevel="0" collapsed="false">
      <c r="A24" s="5" t="s">
        <v>48</v>
      </c>
      <c r="B24" s="6"/>
      <c r="C24" s="3" t="s">
        <v>49</v>
      </c>
    </row>
    <row r="25" customFormat="false" ht="15" hidden="false" customHeight="true" outlineLevel="0" collapsed="false">
      <c r="A25" s="5" t="s">
        <v>50</v>
      </c>
      <c r="B25" s="6"/>
      <c r="C25" s="3" t="s">
        <v>51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8"/>
    <col collapsed="false" customWidth="true" hidden="false" outlineLevel="0" max="2" min="2" style="1" width="52"/>
    <col collapsed="false" customWidth="true" hidden="false" outlineLevel="0" max="3" min="3" style="1" width="62"/>
    <col collapsed="false" customWidth="true" hidden="false" outlineLevel="0" max="4" min="4" style="1" width="22"/>
  </cols>
  <sheetData>
    <row r="1" customFormat="false" ht="15" hidden="false" customHeight="true" outlineLevel="0" collapsed="false">
      <c r="A1" s="7" t="s">
        <v>52</v>
      </c>
      <c r="B1" s="7" t="s">
        <v>53</v>
      </c>
      <c r="C1" s="7" t="s">
        <v>54</v>
      </c>
      <c r="D1" s="7" t="s">
        <v>55</v>
      </c>
    </row>
    <row r="2" customFormat="false" ht="23.25" hidden="false" customHeight="true" outlineLevel="0" collapsed="false">
      <c r="A2" s="8" t="s">
        <v>56</v>
      </c>
      <c r="B2" s="8" t="s">
        <v>57</v>
      </c>
      <c r="C2" s="8" t="s">
        <v>58</v>
      </c>
      <c r="D2" s="8" t="s">
        <v>59</v>
      </c>
    </row>
    <row r="3" customFormat="false" ht="15" hidden="false" customHeight="true" outlineLevel="0" collapsed="false">
      <c r="A3" s="8" t="s">
        <v>60</v>
      </c>
      <c r="B3" s="8" t="s">
        <v>61</v>
      </c>
      <c r="C3" s="8" t="s">
        <v>62</v>
      </c>
      <c r="D3" s="8" t="s">
        <v>63</v>
      </c>
    </row>
    <row r="4" customFormat="false" ht="15" hidden="false" customHeight="true" outlineLevel="0" collapsed="false">
      <c r="A4" s="8" t="s">
        <v>64</v>
      </c>
      <c r="B4" s="8" t="s">
        <v>65</v>
      </c>
      <c r="C4" s="8" t="s">
        <v>66</v>
      </c>
      <c r="D4" s="8" t="s">
        <v>59</v>
      </c>
    </row>
    <row r="5" customFormat="false" ht="15" hidden="false" customHeight="true" outlineLevel="0" collapsed="false">
      <c r="A5" s="8" t="s">
        <v>67</v>
      </c>
      <c r="B5" s="8" t="s">
        <v>68</v>
      </c>
      <c r="C5" s="8" t="s">
        <v>69</v>
      </c>
      <c r="D5" s="8" t="s">
        <v>70</v>
      </c>
    </row>
    <row r="6" customFormat="false" ht="15" hidden="false" customHeight="true" outlineLevel="0" collapsed="false">
      <c r="A6" s="8" t="s">
        <v>71</v>
      </c>
      <c r="B6" s="8" t="s">
        <v>72</v>
      </c>
      <c r="C6" s="8" t="s">
        <v>73</v>
      </c>
      <c r="D6" s="8" t="s">
        <v>74</v>
      </c>
    </row>
    <row r="7" customFormat="false" ht="15" hidden="false" customHeight="true" outlineLevel="0" collapsed="false">
      <c r="A7" s="8" t="s">
        <v>75</v>
      </c>
      <c r="B7" s="8" t="s">
        <v>76</v>
      </c>
      <c r="C7" s="8" t="s">
        <v>77</v>
      </c>
      <c r="D7" s="8" t="s">
        <v>78</v>
      </c>
    </row>
    <row r="8" customFormat="false" ht="23.25" hidden="false" customHeight="true" outlineLevel="0" collapsed="false">
      <c r="A8" s="8" t="s">
        <v>79</v>
      </c>
      <c r="B8" s="8" t="s">
        <v>80</v>
      </c>
      <c r="C8" s="8" t="s">
        <v>81</v>
      </c>
      <c r="D8" s="8" t="s">
        <v>82</v>
      </c>
    </row>
    <row r="9" customFormat="false" ht="23.25" hidden="false" customHeight="true" outlineLevel="0" collapsed="false">
      <c r="A9" s="8" t="s">
        <v>83</v>
      </c>
      <c r="B9" s="8" t="s">
        <v>84</v>
      </c>
      <c r="C9" s="8" t="s">
        <v>85</v>
      </c>
      <c r="D9" s="8" t="s">
        <v>86</v>
      </c>
    </row>
    <row r="10" customFormat="false" ht="23.25" hidden="false" customHeight="true" outlineLevel="0" collapsed="false">
      <c r="A10" s="8" t="s">
        <v>87</v>
      </c>
      <c r="B10" s="8" t="s">
        <v>88</v>
      </c>
      <c r="C10" s="8" t="s">
        <v>89</v>
      </c>
      <c r="D10" s="8" t="s">
        <v>90</v>
      </c>
    </row>
    <row r="11" customFormat="false" ht="15" hidden="false" customHeight="true" outlineLevel="0" collapsed="false">
      <c r="A11" s="8" t="s">
        <v>91</v>
      </c>
      <c r="B11" s="8" t="s">
        <v>92</v>
      </c>
      <c r="C11" s="8" t="s">
        <v>93</v>
      </c>
      <c r="D11" s="8" t="s">
        <v>94</v>
      </c>
    </row>
    <row r="12" customFormat="false" ht="23.25" hidden="false" customHeight="true" outlineLevel="0" collapsed="false">
      <c r="A12" s="8" t="s">
        <v>95</v>
      </c>
      <c r="B12" s="8" t="s">
        <v>96</v>
      </c>
      <c r="C12" s="8" t="s">
        <v>97</v>
      </c>
      <c r="D12" s="8" t="s">
        <v>98</v>
      </c>
    </row>
    <row r="13" customFormat="false" ht="15" hidden="false" customHeight="true" outlineLevel="0" collapsed="false">
      <c r="A13" s="8" t="s">
        <v>99</v>
      </c>
      <c r="B13" s="8" t="s">
        <v>100</v>
      </c>
      <c r="C13" s="8" t="s">
        <v>101</v>
      </c>
      <c r="D13" s="8" t="s">
        <v>102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T14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4" ySplit="1" topLeftCell="E2" activePane="bottomRight" state="frozen"/>
      <selection pane="topLeft" activeCell="A1" activeCellId="0" sqref="A1"/>
      <selection pane="topRight" activeCell="E1" activeCellId="0" sqref="E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1" width="9"/>
    <col collapsed="false" customWidth="true" hidden="false" outlineLevel="0" max="2" min="2" style="1" width="7"/>
    <col collapsed="false" customWidth="true" hidden="false" outlineLevel="0" max="3" min="3" style="1" width="14"/>
    <col collapsed="false" customWidth="true" hidden="false" outlineLevel="0" max="4" min="4" style="1" width="11"/>
    <col collapsed="false" customWidth="true" hidden="false" outlineLevel="0" max="5" min="5" style="1" width="22"/>
    <col collapsed="false" customWidth="true" hidden="false" outlineLevel="0" max="6" min="6" style="1" width="44"/>
    <col collapsed="false" customWidth="true" hidden="false" outlineLevel="0" max="7" min="7" style="1" width="20"/>
    <col collapsed="false" customWidth="true" hidden="false" outlineLevel="0" max="8" min="8" style="1" width="15"/>
    <col collapsed="false" customWidth="true" hidden="false" outlineLevel="0" max="9" min="9" style="1" width="40"/>
    <col collapsed="false" customWidth="true" hidden="false" outlineLevel="0" max="11" min="10" style="1" width="55"/>
    <col collapsed="false" customWidth="true" hidden="false" outlineLevel="0" max="12" min="12" style="1" width="9"/>
    <col collapsed="false" customWidth="true" hidden="false" outlineLevel="0" max="13" min="13" style="1" width="11"/>
    <col collapsed="false" customWidth="true" hidden="false" outlineLevel="0" max="14" min="14" style="1" width="9"/>
    <col collapsed="false" customWidth="true" hidden="false" outlineLevel="0" max="15" min="15" style="1" width="7"/>
    <col collapsed="false" customWidth="true" hidden="false" outlineLevel="0" max="16" min="16" style="1" width="55"/>
    <col collapsed="false" customWidth="true" hidden="false" outlineLevel="0" max="17" min="17" style="1" width="40"/>
    <col collapsed="false" customWidth="true" hidden="false" outlineLevel="0" max="18" min="18" style="1" width="45"/>
    <col collapsed="false" customWidth="true" hidden="false" outlineLevel="0" max="19" min="19" style="1" width="26"/>
    <col collapsed="false" customWidth="true" hidden="false" outlineLevel="0" max="20" min="20" style="1" width="18"/>
  </cols>
  <sheetData>
    <row r="1" customFormat="false" ht="15" hidden="false" customHeight="true" outlineLevel="0" collapsed="false">
      <c r="A1" s="7" t="s">
        <v>103</v>
      </c>
      <c r="B1" s="7" t="s">
        <v>52</v>
      </c>
      <c r="C1" s="7" t="s">
        <v>104</v>
      </c>
      <c r="D1" s="7" t="s">
        <v>105</v>
      </c>
      <c r="E1" s="7" t="s">
        <v>106</v>
      </c>
      <c r="F1" s="7" t="s">
        <v>107</v>
      </c>
      <c r="G1" s="7" t="s">
        <v>108</v>
      </c>
      <c r="H1" s="7" t="s">
        <v>109</v>
      </c>
      <c r="I1" s="7" t="s">
        <v>110</v>
      </c>
      <c r="J1" s="7" t="s">
        <v>111</v>
      </c>
      <c r="K1" s="7" t="s">
        <v>112</v>
      </c>
      <c r="L1" s="7" t="s">
        <v>113</v>
      </c>
      <c r="M1" s="7" t="s">
        <v>114</v>
      </c>
      <c r="N1" s="7" t="s">
        <v>115</v>
      </c>
      <c r="O1" s="7" t="s">
        <v>116</v>
      </c>
      <c r="P1" s="7" t="s">
        <v>117</v>
      </c>
      <c r="Q1" s="7" t="s">
        <v>118</v>
      </c>
      <c r="R1" s="7" t="s">
        <v>119</v>
      </c>
      <c r="S1" s="7" t="s">
        <v>120</v>
      </c>
      <c r="T1" s="7" t="s">
        <v>121</v>
      </c>
    </row>
    <row r="2" customFormat="false" ht="23.25" hidden="false" customHeight="true" outlineLevel="0" collapsed="false">
      <c r="A2" s="9" t="s">
        <v>122</v>
      </c>
      <c r="B2" s="9" t="s">
        <v>79</v>
      </c>
      <c r="C2" s="9" t="s">
        <v>123</v>
      </c>
      <c r="D2" s="9" t="s">
        <v>46</v>
      </c>
      <c r="E2" s="9" t="s">
        <v>124</v>
      </c>
      <c r="F2" s="9" t="s">
        <v>125</v>
      </c>
      <c r="G2" s="9" t="s">
        <v>126</v>
      </c>
      <c r="H2" s="9" t="s">
        <v>127</v>
      </c>
      <c r="I2" s="9" t="s">
        <v>128</v>
      </c>
      <c r="J2" s="9" t="s">
        <v>129</v>
      </c>
      <c r="K2" s="9" t="s">
        <v>130</v>
      </c>
      <c r="L2" s="9" t="s">
        <v>15</v>
      </c>
      <c r="M2" s="9" t="s">
        <v>25</v>
      </c>
      <c r="N2" s="9" t="n">
        <f aca="false">IF(OR($L2="",$M2="",$O2=""),"",IF($L2="S1",8,IF($L2="S2",4,IF($L2="S3",2,1)))*IF($M2="High",3,IF($M2="Medium",2,1))/IF($O2="S",1,IF($O2="M",2,3)))</f>
        <v>6</v>
      </c>
      <c r="O2" s="9" t="s">
        <v>35</v>
      </c>
      <c r="P2" s="9" t="s">
        <v>131</v>
      </c>
      <c r="Q2" s="9" t="s">
        <v>132</v>
      </c>
      <c r="R2" s="9" t="s">
        <v>133</v>
      </c>
      <c r="S2" s="9"/>
      <c r="T2" s="9"/>
    </row>
    <row r="3" customFormat="false" ht="34.5" hidden="false" customHeight="true" outlineLevel="0" collapsed="false">
      <c r="A3" s="9" t="s">
        <v>70</v>
      </c>
      <c r="B3" s="9" t="s">
        <v>67</v>
      </c>
      <c r="C3" s="9" t="s">
        <v>123</v>
      </c>
      <c r="D3" s="9" t="s">
        <v>46</v>
      </c>
      <c r="E3" s="9" t="s">
        <v>134</v>
      </c>
      <c r="F3" s="9" t="s">
        <v>125</v>
      </c>
      <c r="G3" s="9" t="s">
        <v>135</v>
      </c>
      <c r="H3" s="9" t="s">
        <v>136</v>
      </c>
      <c r="I3" s="9" t="s">
        <v>137</v>
      </c>
      <c r="J3" s="9" t="s">
        <v>138</v>
      </c>
      <c r="K3" s="9" t="s">
        <v>139</v>
      </c>
      <c r="L3" s="9" t="s">
        <v>15</v>
      </c>
      <c r="M3" s="9" t="s">
        <v>28</v>
      </c>
      <c r="N3" s="9" t="n">
        <f aca="false">IF(OR($L3="",$M3="",$O3=""),"",IF($L3="S1",8,IF($L3="S2",4,IF($L3="S3",2,1)))*IF($M3="High",3,IF($M3="Medium",2,1))/IF($O3="S",1,IF($O3="M",2,3)))</f>
        <v>4</v>
      </c>
      <c r="O3" s="9" t="s">
        <v>35</v>
      </c>
      <c r="P3" s="9" t="s">
        <v>140</v>
      </c>
      <c r="Q3" s="9" t="s">
        <v>125</v>
      </c>
      <c r="R3" s="9" t="s">
        <v>141</v>
      </c>
      <c r="S3" s="9"/>
      <c r="T3" s="9"/>
    </row>
    <row r="4" customFormat="false" ht="34.5" hidden="false" customHeight="true" outlineLevel="0" collapsed="false">
      <c r="A4" s="9" t="s">
        <v>142</v>
      </c>
      <c r="B4" s="9" t="s">
        <v>79</v>
      </c>
      <c r="C4" s="9" t="s">
        <v>123</v>
      </c>
      <c r="D4" s="9" t="s">
        <v>46</v>
      </c>
      <c r="E4" s="9" t="s">
        <v>143</v>
      </c>
      <c r="F4" s="9" t="s">
        <v>144</v>
      </c>
      <c r="G4" s="9" t="s">
        <v>145</v>
      </c>
      <c r="H4" s="9" t="s">
        <v>146</v>
      </c>
      <c r="I4" s="9" t="s">
        <v>147</v>
      </c>
      <c r="J4" s="9" t="s">
        <v>148</v>
      </c>
      <c r="K4" s="9" t="s">
        <v>149</v>
      </c>
      <c r="L4" s="9" t="s">
        <v>21</v>
      </c>
      <c r="M4" s="9" t="s">
        <v>30</v>
      </c>
      <c r="N4" s="9" t="n">
        <f aca="false">IF(OR($L4="",$M4="",$O4=""),"",IF($L4="S1",8,IF($L4="S2",4,IF($L4="S3",2,1)))*IF($M4="High",3,IF($M4="Medium",2,1))/IF($O4="S",1,IF($O4="M",2,3)))</f>
        <v>0.333333333333333</v>
      </c>
      <c r="O4" s="9" t="s">
        <v>37</v>
      </c>
      <c r="P4" s="9" t="s">
        <v>150</v>
      </c>
      <c r="Q4" s="9" t="s">
        <v>151</v>
      </c>
      <c r="R4" s="9" t="s">
        <v>152</v>
      </c>
      <c r="S4" s="9"/>
      <c r="T4" s="9"/>
    </row>
    <row r="5" customFormat="false" ht="34.5" hidden="false" customHeight="true" outlineLevel="0" collapsed="false">
      <c r="A5" s="9" t="s">
        <v>153</v>
      </c>
      <c r="B5" s="9" t="s">
        <v>83</v>
      </c>
      <c r="C5" s="9" t="s">
        <v>123</v>
      </c>
      <c r="D5" s="9" t="s">
        <v>46</v>
      </c>
      <c r="E5" s="9" t="s">
        <v>154</v>
      </c>
      <c r="F5" s="9" t="s">
        <v>155</v>
      </c>
      <c r="G5" s="9" t="s">
        <v>156</v>
      </c>
      <c r="H5" s="9" t="s">
        <v>157</v>
      </c>
      <c r="I5" s="9" t="s">
        <v>158</v>
      </c>
      <c r="J5" s="9" t="s">
        <v>159</v>
      </c>
      <c r="K5" s="9" t="s">
        <v>160</v>
      </c>
      <c r="L5" s="9" t="s">
        <v>15</v>
      </c>
      <c r="M5" s="9" t="s">
        <v>28</v>
      </c>
      <c r="N5" s="9" t="n">
        <f aca="false">IF(OR($L5="",$M5="",$O5=""),"",IF($L5="S1",8,IF($L5="S2",4,IF($L5="S3",2,1)))*IF($M5="High",3,IF($M5="Medium",2,1))/IF($O5="S",1,IF($O5="M",2,3)))</f>
        <v>2.66666666666667</v>
      </c>
      <c r="O5" s="9" t="s">
        <v>37</v>
      </c>
      <c r="P5" s="9" t="s">
        <v>161</v>
      </c>
      <c r="Q5" s="9" t="s">
        <v>162</v>
      </c>
      <c r="R5" s="9" t="s">
        <v>163</v>
      </c>
      <c r="S5" s="9" t="s">
        <v>164</v>
      </c>
      <c r="T5" s="9"/>
    </row>
    <row r="6" customFormat="false" ht="23.25" hidden="false" customHeight="true" outlineLevel="0" collapsed="false">
      <c r="A6" s="9" t="s">
        <v>165</v>
      </c>
      <c r="B6" s="9" t="s">
        <v>95</v>
      </c>
      <c r="C6" s="9" t="s">
        <v>123</v>
      </c>
      <c r="D6" s="9" t="s">
        <v>46</v>
      </c>
      <c r="E6" s="9" t="s">
        <v>166</v>
      </c>
      <c r="F6" s="9" t="s">
        <v>167</v>
      </c>
      <c r="G6" s="9" t="s">
        <v>168</v>
      </c>
      <c r="H6" s="9" t="s">
        <v>169</v>
      </c>
      <c r="I6" s="9" t="s">
        <v>170</v>
      </c>
      <c r="J6" s="9" t="s">
        <v>171</v>
      </c>
      <c r="K6" s="9" t="s">
        <v>172</v>
      </c>
      <c r="L6" s="9" t="s">
        <v>12</v>
      </c>
      <c r="M6" s="9" t="s">
        <v>28</v>
      </c>
      <c r="N6" s="9" t="n">
        <f aca="false">IF(OR($L6="",$M6="",$O6=""),"",IF($L6="S1",8,IF($L6="S2",4,IF($L6="S3",2,1)))*IF($M6="High",3,IF($M6="Medium",2,1))/IF($O6="S",1,IF($O6="M",2,3)))</f>
        <v>16</v>
      </c>
      <c r="O6" s="9" t="s">
        <v>33</v>
      </c>
      <c r="P6" s="9" t="s">
        <v>173</v>
      </c>
      <c r="Q6" s="9" t="s">
        <v>174</v>
      </c>
      <c r="R6" s="9" t="s">
        <v>175</v>
      </c>
      <c r="S6" s="9" t="s">
        <v>164</v>
      </c>
      <c r="T6" s="9"/>
    </row>
    <row r="7" customFormat="false" ht="23.25" hidden="false" customHeight="true" outlineLevel="0" collapsed="false">
      <c r="A7" s="9" t="s">
        <v>176</v>
      </c>
      <c r="B7" s="9" t="s">
        <v>99</v>
      </c>
      <c r="C7" s="9" t="s">
        <v>123</v>
      </c>
      <c r="D7" s="9" t="s">
        <v>46</v>
      </c>
      <c r="E7" s="9" t="s">
        <v>177</v>
      </c>
      <c r="F7" s="9" t="s">
        <v>167</v>
      </c>
      <c r="G7" s="9" t="s">
        <v>178</v>
      </c>
      <c r="H7" s="9" t="s">
        <v>169</v>
      </c>
      <c r="I7" s="9" t="s">
        <v>179</v>
      </c>
      <c r="J7" s="9" t="s">
        <v>180</v>
      </c>
      <c r="K7" s="9" t="s">
        <v>181</v>
      </c>
      <c r="L7" s="9" t="s">
        <v>12</v>
      </c>
      <c r="M7" s="9" t="s">
        <v>28</v>
      </c>
      <c r="N7" s="9" t="n">
        <f aca="false">IF(OR($L7="",$M7="",$O7=""),"",IF($L7="S1",8,IF($L7="S2",4,IF($L7="S3",2,1)))*IF($M7="High",3,IF($M7="Medium",2,1))/IF($O7="S",1,IF($O7="M",2,3)))</f>
        <v>16</v>
      </c>
      <c r="O7" s="9" t="s">
        <v>33</v>
      </c>
      <c r="P7" s="9" t="s">
        <v>182</v>
      </c>
      <c r="Q7" s="9" t="s">
        <v>183</v>
      </c>
      <c r="R7" s="9" t="s">
        <v>184</v>
      </c>
      <c r="S7" s="9"/>
      <c r="T7" s="9"/>
    </row>
    <row r="8" customFormat="false" ht="23.25" hidden="false" customHeight="true" outlineLevel="0" collapsed="false">
      <c r="A8" s="9" t="s">
        <v>185</v>
      </c>
      <c r="B8" s="9" t="s">
        <v>95</v>
      </c>
      <c r="C8" s="9" t="s">
        <v>123</v>
      </c>
      <c r="D8" s="9" t="s">
        <v>46</v>
      </c>
      <c r="E8" s="9" t="s">
        <v>186</v>
      </c>
      <c r="F8" s="9" t="s">
        <v>167</v>
      </c>
      <c r="G8" s="9" t="s">
        <v>187</v>
      </c>
      <c r="H8" s="9" t="s">
        <v>169</v>
      </c>
      <c r="I8" s="9" t="s">
        <v>188</v>
      </c>
      <c r="J8" s="9" t="s">
        <v>189</v>
      </c>
      <c r="K8" s="9" t="s">
        <v>190</v>
      </c>
      <c r="L8" s="9" t="s">
        <v>12</v>
      </c>
      <c r="M8" s="9" t="s">
        <v>28</v>
      </c>
      <c r="N8" s="9" t="n">
        <f aca="false">IF(OR($L8="",$M8="",$O8=""),"",IF($L8="S1",8,IF($L8="S2",4,IF($L8="S3",2,1)))*IF($M8="High",3,IF($M8="Medium",2,1))/IF($O8="S",1,IF($O8="M",2,3)))</f>
        <v>16</v>
      </c>
      <c r="O8" s="9" t="s">
        <v>33</v>
      </c>
      <c r="P8" s="9" t="s">
        <v>191</v>
      </c>
      <c r="Q8" s="9" t="s">
        <v>192</v>
      </c>
      <c r="R8" s="9" t="s">
        <v>193</v>
      </c>
      <c r="S8" s="9"/>
      <c r="T8" s="9"/>
    </row>
    <row r="9" customFormat="false" ht="23.25" hidden="false" customHeight="true" outlineLevel="0" collapsed="false">
      <c r="A9" s="9" t="s">
        <v>194</v>
      </c>
      <c r="B9" s="9" t="s">
        <v>95</v>
      </c>
      <c r="C9" s="9" t="s">
        <v>123</v>
      </c>
      <c r="D9" s="9" t="s">
        <v>46</v>
      </c>
      <c r="E9" s="9" t="s">
        <v>195</v>
      </c>
      <c r="F9" s="9" t="s">
        <v>196</v>
      </c>
      <c r="G9" s="9" t="s">
        <v>197</v>
      </c>
      <c r="H9" s="9" t="s">
        <v>169</v>
      </c>
      <c r="I9" s="9" t="s">
        <v>198</v>
      </c>
      <c r="J9" s="9" t="s">
        <v>199</v>
      </c>
      <c r="K9" s="9" t="s">
        <v>200</v>
      </c>
      <c r="L9" s="9" t="s">
        <v>12</v>
      </c>
      <c r="M9" s="9" t="s">
        <v>28</v>
      </c>
      <c r="N9" s="9" t="n">
        <f aca="false">IF(OR($L9="",$M9="",$O9=""),"",IF($L9="S1",8,IF($L9="S2",4,IF($L9="S3",2,1)))*IF($M9="High",3,IF($M9="Medium",2,1))/IF($O9="S",1,IF($O9="M",2,3)))</f>
        <v>16</v>
      </c>
      <c r="O9" s="9" t="s">
        <v>33</v>
      </c>
      <c r="P9" s="9" t="s">
        <v>201</v>
      </c>
      <c r="Q9" s="9" t="s">
        <v>174</v>
      </c>
      <c r="R9" s="9" t="s">
        <v>202</v>
      </c>
      <c r="S9" s="9"/>
      <c r="T9" s="9"/>
    </row>
    <row r="10" customFormat="false" ht="23.25" hidden="false" customHeight="true" outlineLevel="0" collapsed="false">
      <c r="A10" s="9" t="s">
        <v>203</v>
      </c>
      <c r="B10" s="9" t="s">
        <v>99</v>
      </c>
      <c r="C10" s="9" t="s">
        <v>123</v>
      </c>
      <c r="D10" s="9" t="s">
        <v>46</v>
      </c>
      <c r="E10" s="9" t="s">
        <v>204</v>
      </c>
      <c r="F10" s="9" t="s">
        <v>205</v>
      </c>
      <c r="G10" s="9" t="s">
        <v>206</v>
      </c>
      <c r="H10" s="9" t="s">
        <v>127</v>
      </c>
      <c r="I10" s="9" t="s">
        <v>207</v>
      </c>
      <c r="J10" s="9" t="s">
        <v>208</v>
      </c>
      <c r="K10" s="9" t="s">
        <v>209</v>
      </c>
      <c r="L10" s="9" t="s">
        <v>15</v>
      </c>
      <c r="M10" s="9" t="s">
        <v>28</v>
      </c>
      <c r="N10" s="9" t="n">
        <f aca="false">IF(OR($L10="",$M10="",$O10=""),"",IF($L10="S1",8,IF($L10="S2",4,IF($L10="S3",2,1)))*IF($M10="High",3,IF($M10="Medium",2,1))/IF($O10="S",1,IF($O10="M",2,3)))</f>
        <v>8</v>
      </c>
      <c r="O10" s="9" t="s">
        <v>33</v>
      </c>
      <c r="P10" s="9" t="s">
        <v>210</v>
      </c>
      <c r="Q10" s="9" t="s">
        <v>211</v>
      </c>
      <c r="R10" s="9" t="s">
        <v>212</v>
      </c>
      <c r="S10" s="9"/>
      <c r="T10" s="9"/>
    </row>
    <row r="11" customFormat="false" ht="34.5" hidden="false" customHeight="true" outlineLevel="0" collapsed="false">
      <c r="A11" s="9" t="s">
        <v>90</v>
      </c>
      <c r="B11" s="9" t="s">
        <v>87</v>
      </c>
      <c r="C11" s="9" t="s">
        <v>123</v>
      </c>
      <c r="D11" s="9" t="s">
        <v>46</v>
      </c>
      <c r="E11" s="9" t="s">
        <v>213</v>
      </c>
      <c r="F11" s="9" t="s">
        <v>214</v>
      </c>
      <c r="G11" s="9" t="s">
        <v>215</v>
      </c>
      <c r="H11" s="9" t="s">
        <v>136</v>
      </c>
      <c r="I11" s="9" t="s">
        <v>216</v>
      </c>
      <c r="J11" s="9" t="s">
        <v>217</v>
      </c>
      <c r="K11" s="9" t="s">
        <v>218</v>
      </c>
      <c r="L11" s="9" t="s">
        <v>12</v>
      </c>
      <c r="M11" s="9" t="s">
        <v>28</v>
      </c>
      <c r="N11" s="9" t="n">
        <f aca="false">IF(OR($L11="",$M11="",$O11=""),"",IF($L11="S1",8,IF($L11="S2",4,IF($L11="S3",2,1)))*IF($M11="High",3,IF($M11="Medium",2,1))/IF($O11="S",1,IF($O11="M",2,3)))</f>
        <v>16</v>
      </c>
      <c r="O11" s="9" t="s">
        <v>33</v>
      </c>
      <c r="P11" s="9" t="s">
        <v>219</v>
      </c>
      <c r="Q11" s="9" t="s">
        <v>220</v>
      </c>
      <c r="R11" s="9" t="s">
        <v>221</v>
      </c>
      <c r="S11" s="9"/>
      <c r="T11" s="9"/>
    </row>
    <row r="12" customFormat="false" ht="34.5" hidden="false" customHeight="true" outlineLevel="0" collapsed="false">
      <c r="A12" s="9" t="s">
        <v>222</v>
      </c>
      <c r="B12" s="9" t="s">
        <v>99</v>
      </c>
      <c r="C12" s="9" t="s">
        <v>123</v>
      </c>
      <c r="D12" s="9" t="s">
        <v>46</v>
      </c>
      <c r="E12" s="9" t="s">
        <v>223</v>
      </c>
      <c r="F12" s="9" t="s">
        <v>224</v>
      </c>
      <c r="G12" s="9" t="s">
        <v>225</v>
      </c>
      <c r="H12" s="9" t="s">
        <v>226</v>
      </c>
      <c r="I12" s="9" t="s">
        <v>227</v>
      </c>
      <c r="J12" s="9" t="s">
        <v>228</v>
      </c>
      <c r="K12" s="9" t="s">
        <v>229</v>
      </c>
      <c r="L12" s="9" t="s">
        <v>15</v>
      </c>
      <c r="M12" s="9" t="s">
        <v>25</v>
      </c>
      <c r="N12" s="9" t="n">
        <f aca="false">IF(OR($L12="",$M12="",$O12=""),"",IF($L12="S1",8,IF($L12="S2",4,IF($L12="S3",2,1)))*IF($M12="High",3,IF($M12="Medium",2,1))/IF($O12="S",1,IF($O12="M",2,3)))</f>
        <v>12</v>
      </c>
      <c r="O12" s="9" t="s">
        <v>33</v>
      </c>
      <c r="P12" s="9" t="s">
        <v>230</v>
      </c>
      <c r="Q12" s="9" t="s">
        <v>231</v>
      </c>
      <c r="R12" s="9" t="s">
        <v>232</v>
      </c>
      <c r="S12" s="9"/>
      <c r="T12" s="9"/>
    </row>
    <row r="13" customFormat="false" ht="34.5" hidden="false" customHeight="true" outlineLevel="0" collapsed="false">
      <c r="A13" s="9" t="s">
        <v>63</v>
      </c>
      <c r="B13" s="9" t="s">
        <v>60</v>
      </c>
      <c r="C13" s="9" t="s">
        <v>123</v>
      </c>
      <c r="D13" s="9" t="s">
        <v>46</v>
      </c>
      <c r="E13" s="9" t="s">
        <v>233</v>
      </c>
      <c r="F13" s="9" t="s">
        <v>234</v>
      </c>
      <c r="G13" s="9" t="s">
        <v>235</v>
      </c>
      <c r="H13" s="9" t="s">
        <v>127</v>
      </c>
      <c r="I13" s="9" t="s">
        <v>236</v>
      </c>
      <c r="J13" s="9" t="s">
        <v>237</v>
      </c>
      <c r="K13" s="9" t="s">
        <v>238</v>
      </c>
      <c r="L13" s="9" t="s">
        <v>12</v>
      </c>
      <c r="M13" s="9" t="s">
        <v>28</v>
      </c>
      <c r="N13" s="9" t="n">
        <f aca="false">IF(OR($L13="",$M13="",$O13=""),"",IF($L13="S1",8,IF($L13="S2",4,IF($L13="S3",2,1)))*IF($M13="High",3,IF($M13="Medium",2,1))/IF($O13="S",1,IF($O13="M",2,3)))</f>
        <v>16</v>
      </c>
      <c r="O13" s="9" t="s">
        <v>33</v>
      </c>
      <c r="P13" s="9" t="s">
        <v>239</v>
      </c>
      <c r="Q13" s="9" t="s">
        <v>240</v>
      </c>
      <c r="R13" s="9" t="s">
        <v>241</v>
      </c>
      <c r="S13" s="9"/>
      <c r="T13" s="9"/>
    </row>
    <row r="14" customFormat="false" ht="23.25" hidden="false" customHeight="true" outlineLevel="0" collapsed="false">
      <c r="A14" s="9" t="s">
        <v>78</v>
      </c>
      <c r="B14" s="9" t="s">
        <v>75</v>
      </c>
      <c r="C14" s="9" t="s">
        <v>123</v>
      </c>
      <c r="D14" s="9" t="s">
        <v>48</v>
      </c>
      <c r="E14" s="9" t="s">
        <v>242</v>
      </c>
      <c r="F14" s="9" t="s">
        <v>243</v>
      </c>
      <c r="G14" s="9" t="s">
        <v>244</v>
      </c>
      <c r="H14" s="9" t="s">
        <v>157</v>
      </c>
      <c r="I14" s="9" t="s">
        <v>245</v>
      </c>
      <c r="J14" s="9" t="s">
        <v>246</v>
      </c>
      <c r="K14" s="9" t="s">
        <v>247</v>
      </c>
      <c r="L14" s="9" t="s">
        <v>18</v>
      </c>
      <c r="M14" s="9" t="s">
        <v>25</v>
      </c>
      <c r="N14" s="9" t="n">
        <f aca="false">IF(OR($L14="",$M14="",$O14=""),"",IF($L14="S1",8,IF($L14="S2",4,IF($L14="S3",2,1)))*IF($M14="High",3,IF($M14="Medium",2,1))/IF($O14="S",1,IF($O14="M",2,3)))</f>
        <v>6</v>
      </c>
      <c r="O14" s="9" t="s">
        <v>33</v>
      </c>
      <c r="P14" s="9" t="s">
        <v>248</v>
      </c>
      <c r="Q14" s="9" t="s">
        <v>249</v>
      </c>
      <c r="R14" s="9" t="s">
        <v>250</v>
      </c>
      <c r="S14" s="9" t="s">
        <v>164</v>
      </c>
      <c r="T14" s="9"/>
    </row>
    <row r="15" customFormat="false" ht="34.5" hidden="false" customHeight="true" outlineLevel="0" collapsed="false">
      <c r="A15" s="9" t="s">
        <v>74</v>
      </c>
      <c r="B15" s="9" t="s">
        <v>71</v>
      </c>
      <c r="C15" s="9" t="s">
        <v>123</v>
      </c>
      <c r="D15" s="9" t="s">
        <v>46</v>
      </c>
      <c r="E15" s="9" t="s">
        <v>251</v>
      </c>
      <c r="F15" s="9" t="s">
        <v>252</v>
      </c>
      <c r="G15" s="9" t="s">
        <v>253</v>
      </c>
      <c r="H15" s="9" t="s">
        <v>127</v>
      </c>
      <c r="I15" s="9" t="s">
        <v>254</v>
      </c>
      <c r="J15" s="9" t="s">
        <v>255</v>
      </c>
      <c r="K15" s="9" t="s">
        <v>256</v>
      </c>
      <c r="L15" s="9" t="s">
        <v>15</v>
      </c>
      <c r="M15" s="9" t="s">
        <v>28</v>
      </c>
      <c r="N15" s="9" t="n">
        <f aca="false">IF(OR($L15="",$M15="",$O15=""),"",IF($L15="S1",8,IF($L15="S2",4,IF($L15="S3",2,1)))*IF($M15="High",3,IF($M15="Medium",2,1))/IF($O15="S",1,IF($O15="M",2,3)))</f>
        <v>4</v>
      </c>
      <c r="O15" s="9" t="s">
        <v>35</v>
      </c>
      <c r="P15" s="9" t="s">
        <v>257</v>
      </c>
      <c r="Q15" s="9" t="s">
        <v>258</v>
      </c>
      <c r="R15" s="9" t="s">
        <v>259</v>
      </c>
      <c r="S15" s="9"/>
      <c r="T15" s="9"/>
    </row>
    <row r="16" customFormat="false" ht="23.25" hidden="false" customHeight="true" outlineLevel="0" collapsed="false">
      <c r="A16" s="9" t="s">
        <v>260</v>
      </c>
      <c r="B16" s="9" t="s">
        <v>83</v>
      </c>
      <c r="C16" s="9" t="s">
        <v>123</v>
      </c>
      <c r="D16" s="9" t="s">
        <v>48</v>
      </c>
      <c r="E16" s="9" t="s">
        <v>261</v>
      </c>
      <c r="F16" s="9" t="s">
        <v>262</v>
      </c>
      <c r="G16" s="9" t="s">
        <v>263</v>
      </c>
      <c r="H16" s="9" t="s">
        <v>157</v>
      </c>
      <c r="I16" s="9" t="s">
        <v>264</v>
      </c>
      <c r="J16" s="9" t="s">
        <v>265</v>
      </c>
      <c r="K16" s="9" t="s">
        <v>266</v>
      </c>
      <c r="L16" s="9" t="s">
        <v>18</v>
      </c>
      <c r="M16" s="9" t="s">
        <v>28</v>
      </c>
      <c r="N16" s="9" t="n">
        <f aca="false">IF(OR($L16="",$M16="",$O16=""),"",IF($L16="S1",8,IF($L16="S2",4,IF($L16="S3",2,1)))*IF($M16="High",3,IF($M16="Medium",2,1))/IF($O16="S",1,IF($O16="M",2,3)))</f>
        <v>4</v>
      </c>
      <c r="O16" s="9" t="s">
        <v>33</v>
      </c>
      <c r="P16" s="9" t="s">
        <v>267</v>
      </c>
      <c r="Q16" s="9" t="s">
        <v>268</v>
      </c>
      <c r="R16" s="9" t="s">
        <v>269</v>
      </c>
      <c r="S16" s="9"/>
      <c r="T16" s="9"/>
    </row>
    <row r="17" customFormat="false" ht="34.5" hidden="false" customHeight="true" outlineLevel="0" collapsed="false">
      <c r="A17" s="9" t="s">
        <v>270</v>
      </c>
      <c r="B17" s="9" t="s">
        <v>95</v>
      </c>
      <c r="C17" s="9" t="s">
        <v>123</v>
      </c>
      <c r="D17" s="9" t="s">
        <v>46</v>
      </c>
      <c r="E17" s="9" t="s">
        <v>271</v>
      </c>
      <c r="F17" s="9" t="s">
        <v>272</v>
      </c>
      <c r="G17" s="9" t="s">
        <v>273</v>
      </c>
      <c r="H17" s="9" t="s">
        <v>127</v>
      </c>
      <c r="I17" s="9" t="s">
        <v>274</v>
      </c>
      <c r="J17" s="9" t="s">
        <v>275</v>
      </c>
      <c r="K17" s="9" t="s">
        <v>276</v>
      </c>
      <c r="L17" s="9" t="s">
        <v>15</v>
      </c>
      <c r="M17" s="9" t="s">
        <v>28</v>
      </c>
      <c r="N17" s="9" t="n">
        <f aca="false">IF(OR($L17="",$M17="",$O17=""),"",IF($L17="S1",8,IF($L17="S2",4,IF($L17="S3",2,1)))*IF($M17="High",3,IF($M17="Medium",2,1))/IF($O17="S",1,IF($O17="M",2,3)))</f>
        <v>4</v>
      </c>
      <c r="O17" s="9" t="s">
        <v>35</v>
      </c>
      <c r="P17" s="9" t="s">
        <v>277</v>
      </c>
      <c r="Q17" s="9" t="s">
        <v>278</v>
      </c>
      <c r="R17" s="9" t="s">
        <v>279</v>
      </c>
      <c r="S17" s="9"/>
      <c r="T17" s="9"/>
    </row>
    <row r="18" customFormat="false" ht="34.5" hidden="false" customHeight="true" outlineLevel="0" collapsed="false">
      <c r="A18" s="9" t="s">
        <v>280</v>
      </c>
      <c r="B18" s="9" t="s">
        <v>91</v>
      </c>
      <c r="C18" s="9" t="s">
        <v>123</v>
      </c>
      <c r="D18" s="9" t="s">
        <v>46</v>
      </c>
      <c r="E18" s="9" t="s">
        <v>281</v>
      </c>
      <c r="F18" s="9" t="s">
        <v>282</v>
      </c>
      <c r="G18" s="9" t="s">
        <v>283</v>
      </c>
      <c r="H18" s="9" t="s">
        <v>284</v>
      </c>
      <c r="I18" s="9" t="s">
        <v>285</v>
      </c>
      <c r="J18" s="9" t="s">
        <v>286</v>
      </c>
      <c r="K18" s="9" t="s">
        <v>287</v>
      </c>
      <c r="L18" s="9" t="s">
        <v>18</v>
      </c>
      <c r="M18" s="9" t="s">
        <v>28</v>
      </c>
      <c r="N18" s="9" t="n">
        <f aca="false">IF(OR($L18="",$M18="",$O18=""),"",IF($L18="S1",8,IF($L18="S2",4,IF($L18="S3",2,1)))*IF($M18="High",3,IF($M18="Medium",2,1))/IF($O18="S",1,IF($O18="M",2,3)))</f>
        <v>4</v>
      </c>
      <c r="O18" s="9" t="s">
        <v>33</v>
      </c>
      <c r="P18" s="9" t="s">
        <v>288</v>
      </c>
      <c r="Q18" s="9" t="s">
        <v>289</v>
      </c>
      <c r="R18" s="9" t="s">
        <v>290</v>
      </c>
      <c r="S18" s="9"/>
      <c r="T18" s="9"/>
    </row>
    <row r="19" customFormat="false" ht="23.25" hidden="false" customHeight="true" outlineLevel="0" collapsed="false">
      <c r="A19" s="9" t="s">
        <v>291</v>
      </c>
      <c r="B19" s="9" t="s">
        <v>91</v>
      </c>
      <c r="C19" s="9" t="s">
        <v>123</v>
      </c>
      <c r="D19" s="9" t="s">
        <v>48</v>
      </c>
      <c r="E19" s="9" t="s">
        <v>292</v>
      </c>
      <c r="F19" s="9" t="s">
        <v>293</v>
      </c>
      <c r="G19" s="9" t="s">
        <v>294</v>
      </c>
      <c r="H19" s="9" t="s">
        <v>284</v>
      </c>
      <c r="I19" s="9" t="s">
        <v>295</v>
      </c>
      <c r="J19" s="9" t="s">
        <v>296</v>
      </c>
      <c r="K19" s="9" t="s">
        <v>297</v>
      </c>
      <c r="L19" s="9" t="s">
        <v>21</v>
      </c>
      <c r="M19" s="9" t="s">
        <v>30</v>
      </c>
      <c r="N19" s="9" t="n">
        <f aca="false">IF(OR($L19="",$M19="",$O19=""),"",IF($L19="S1",8,IF($L19="S2",4,IF($L19="S3",2,1)))*IF($M19="High",3,IF($M19="Medium",2,1))/IF($O19="S",1,IF($O19="M",2,3)))</f>
        <v>1</v>
      </c>
      <c r="O19" s="9" t="s">
        <v>33</v>
      </c>
      <c r="P19" s="9" t="s">
        <v>298</v>
      </c>
      <c r="Q19" s="9" t="s">
        <v>299</v>
      </c>
      <c r="R19" s="9" t="s">
        <v>300</v>
      </c>
      <c r="S19" s="9"/>
      <c r="T19" s="9"/>
    </row>
    <row r="20" customFormat="false" ht="15" hidden="false" customHeight="true" outlineLevel="0" collapsed="false">
      <c r="A20" s="8" t="s">
        <v>301</v>
      </c>
      <c r="B20" s="8" t="s">
        <v>83</v>
      </c>
      <c r="C20" s="8" t="s">
        <v>302</v>
      </c>
      <c r="D20" s="8" t="s">
        <v>46</v>
      </c>
      <c r="E20" s="8" t="s">
        <v>303</v>
      </c>
      <c r="F20" s="8" t="s">
        <v>304</v>
      </c>
      <c r="G20" s="8" t="s">
        <v>305</v>
      </c>
      <c r="H20" s="8" t="s">
        <v>306</v>
      </c>
      <c r="I20" s="8" t="s">
        <v>307</v>
      </c>
      <c r="J20" s="8" t="s">
        <v>308</v>
      </c>
      <c r="K20" s="8" t="s">
        <v>309</v>
      </c>
      <c r="L20" s="8" t="s">
        <v>12</v>
      </c>
      <c r="M20" s="8" t="s">
        <v>25</v>
      </c>
      <c r="N20" s="8" t="n">
        <f aca="false">IF(OR($L20="",$M20="",$O20=""),"",IF($L20="S1",8,IF($L20="S2",4,IF($L20="S3",2,1)))*IF($M20="High",3,IF($M20="Medium",2,1))/IF($O20="S",1,IF($O20="M",2,3)))</f>
        <v>12</v>
      </c>
      <c r="O20" s="8" t="s">
        <v>35</v>
      </c>
      <c r="P20" s="8" t="s">
        <v>310</v>
      </c>
      <c r="Q20" s="8" t="s">
        <v>304</v>
      </c>
      <c r="R20" s="8" t="s">
        <v>311</v>
      </c>
      <c r="S20" s="8"/>
      <c r="T20" s="8"/>
    </row>
    <row r="21" customFormat="false" ht="15" hidden="false" customHeight="true" outlineLevel="0" collapsed="false">
      <c r="A21" s="8" t="s">
        <v>312</v>
      </c>
      <c r="B21" s="8" t="s">
        <v>83</v>
      </c>
      <c r="C21" s="8" t="s">
        <v>302</v>
      </c>
      <c r="D21" s="8" t="s">
        <v>46</v>
      </c>
      <c r="E21" s="8" t="s">
        <v>303</v>
      </c>
      <c r="F21" s="8" t="s">
        <v>313</v>
      </c>
      <c r="G21" s="8" t="s">
        <v>314</v>
      </c>
      <c r="H21" s="8" t="s">
        <v>306</v>
      </c>
      <c r="I21" s="8" t="s">
        <v>315</v>
      </c>
      <c r="J21" s="8" t="s">
        <v>316</v>
      </c>
      <c r="K21" s="8" t="s">
        <v>317</v>
      </c>
      <c r="L21" s="8" t="s">
        <v>12</v>
      </c>
      <c r="M21" s="8" t="s">
        <v>25</v>
      </c>
      <c r="N21" s="8" t="n">
        <f aca="false">IF(OR($L21="",$M21="",$O21=""),"",IF($L21="S1",8,IF($L21="S2",4,IF($L21="S3",2,1)))*IF($M21="High",3,IF($M21="Medium",2,1))/IF($O21="S",1,IF($O21="M",2,3)))</f>
        <v>24</v>
      </c>
      <c r="O21" s="8" t="s">
        <v>33</v>
      </c>
      <c r="P21" s="8" t="s">
        <v>318</v>
      </c>
      <c r="Q21" s="8" t="s">
        <v>313</v>
      </c>
      <c r="R21" s="8" t="s">
        <v>319</v>
      </c>
      <c r="S21" s="8"/>
      <c r="T21" s="8"/>
    </row>
    <row r="22" customFormat="false" ht="15" hidden="false" customHeight="true" outlineLevel="0" collapsed="false">
      <c r="A22" s="8" t="s">
        <v>320</v>
      </c>
      <c r="B22" s="8" t="s">
        <v>79</v>
      </c>
      <c r="C22" s="8" t="s">
        <v>302</v>
      </c>
      <c r="D22" s="8" t="s">
        <v>46</v>
      </c>
      <c r="E22" s="8" t="s">
        <v>321</v>
      </c>
      <c r="F22" s="8" t="s">
        <v>322</v>
      </c>
      <c r="G22" s="8" t="s">
        <v>323</v>
      </c>
      <c r="H22" s="8" t="s">
        <v>306</v>
      </c>
      <c r="I22" s="8" t="s">
        <v>324</v>
      </c>
      <c r="J22" s="8" t="s">
        <v>325</v>
      </c>
      <c r="K22" s="8" t="s">
        <v>326</v>
      </c>
      <c r="L22" s="8" t="s">
        <v>12</v>
      </c>
      <c r="M22" s="8" t="s">
        <v>28</v>
      </c>
      <c r="N22" s="8" t="n">
        <f aca="false">IF(OR($L22="",$M22="",$O22=""),"",IF($L22="S1",8,IF($L22="S2",4,IF($L22="S3",2,1)))*IF($M22="High",3,IF($M22="Medium",2,1))/IF($O22="S",1,IF($O22="M",2,3)))</f>
        <v>8</v>
      </c>
      <c r="O22" s="8" t="s">
        <v>35</v>
      </c>
      <c r="P22" s="8" t="s">
        <v>327</v>
      </c>
      <c r="Q22" s="8" t="s">
        <v>322</v>
      </c>
      <c r="R22" s="8" t="s">
        <v>328</v>
      </c>
      <c r="S22" s="8"/>
      <c r="T22" s="8"/>
    </row>
    <row r="23" customFormat="false" ht="15" hidden="false" customHeight="true" outlineLevel="0" collapsed="false">
      <c r="A23" s="8" t="s">
        <v>329</v>
      </c>
      <c r="B23" s="8" t="s">
        <v>56</v>
      </c>
      <c r="C23" s="8" t="s">
        <v>302</v>
      </c>
      <c r="D23" s="8" t="s">
        <v>46</v>
      </c>
      <c r="E23" s="8" t="s">
        <v>330</v>
      </c>
      <c r="F23" s="8" t="s">
        <v>331</v>
      </c>
      <c r="G23" s="8" t="s">
        <v>332</v>
      </c>
      <c r="H23" s="8" t="s">
        <v>306</v>
      </c>
      <c r="I23" s="8" t="s">
        <v>333</v>
      </c>
      <c r="J23" s="8" t="s">
        <v>334</v>
      </c>
      <c r="K23" s="8" t="s">
        <v>335</v>
      </c>
      <c r="L23" s="8" t="s">
        <v>15</v>
      </c>
      <c r="M23" s="8" t="s">
        <v>28</v>
      </c>
      <c r="N23" s="8" t="n">
        <f aca="false">IF(OR($L23="",$M23="",$O23=""),"",IF($L23="S1",8,IF($L23="S2",4,IF($L23="S3",2,1)))*IF($M23="High",3,IF($M23="Medium",2,1))/IF($O23="S",1,IF($O23="M",2,3)))</f>
        <v>4</v>
      </c>
      <c r="O23" s="8" t="s">
        <v>35</v>
      </c>
      <c r="P23" s="8" t="s">
        <v>336</v>
      </c>
      <c r="Q23" s="8" t="s">
        <v>337</v>
      </c>
      <c r="R23" s="8" t="s">
        <v>338</v>
      </c>
      <c r="S23" s="8"/>
      <c r="T23" s="8"/>
    </row>
    <row r="24" customFormat="false" ht="15" hidden="false" customHeight="true" outlineLevel="0" collapsed="false">
      <c r="A24" s="8" t="s">
        <v>339</v>
      </c>
      <c r="B24" s="8" t="s">
        <v>56</v>
      </c>
      <c r="C24" s="8" t="s">
        <v>302</v>
      </c>
      <c r="D24" s="8" t="s">
        <v>46</v>
      </c>
      <c r="E24" s="8" t="s">
        <v>330</v>
      </c>
      <c r="F24" s="8" t="s">
        <v>340</v>
      </c>
      <c r="G24" s="8" t="s">
        <v>341</v>
      </c>
      <c r="H24" s="8" t="s">
        <v>306</v>
      </c>
      <c r="I24" s="8" t="s">
        <v>342</v>
      </c>
      <c r="J24" s="8" t="s">
        <v>343</v>
      </c>
      <c r="K24" s="8" t="s">
        <v>344</v>
      </c>
      <c r="L24" s="8" t="s">
        <v>15</v>
      </c>
      <c r="M24" s="8" t="s">
        <v>25</v>
      </c>
      <c r="N24" s="8" t="n">
        <f aca="false">IF(OR($L24="",$M24="",$O24=""),"",IF($L24="S1",8,IF($L24="S2",4,IF($L24="S3",2,1)))*IF($M24="High",3,IF($M24="Medium",2,1))/IF($O24="S",1,IF($O24="M",2,3)))</f>
        <v>12</v>
      </c>
      <c r="O24" s="8" t="s">
        <v>33</v>
      </c>
      <c r="P24" s="8" t="s">
        <v>345</v>
      </c>
      <c r="Q24" s="8" t="s">
        <v>340</v>
      </c>
      <c r="R24" s="8" t="s">
        <v>346</v>
      </c>
      <c r="S24" s="8"/>
      <c r="T24" s="8"/>
    </row>
    <row r="25" customFormat="false" ht="15" hidden="false" customHeight="true" outlineLevel="0" collapsed="false">
      <c r="A25" s="8" t="s">
        <v>347</v>
      </c>
      <c r="B25" s="8" t="s">
        <v>87</v>
      </c>
      <c r="C25" s="8" t="s">
        <v>302</v>
      </c>
      <c r="D25" s="8" t="s">
        <v>46</v>
      </c>
      <c r="E25" s="8" t="s">
        <v>348</v>
      </c>
      <c r="F25" s="8" t="s">
        <v>349</v>
      </c>
      <c r="G25" s="8" t="s">
        <v>350</v>
      </c>
      <c r="H25" s="8" t="s">
        <v>136</v>
      </c>
      <c r="I25" s="8" t="s">
        <v>351</v>
      </c>
      <c r="J25" s="8" t="s">
        <v>352</v>
      </c>
      <c r="K25" s="8" t="s">
        <v>353</v>
      </c>
      <c r="L25" s="8" t="s">
        <v>12</v>
      </c>
      <c r="M25" s="8" t="s">
        <v>25</v>
      </c>
      <c r="N25" s="8" t="n">
        <f aca="false">IF(OR($L25="",$M25="",$O25=""),"",IF($L25="S1",8,IF($L25="S2",4,IF($L25="S3",2,1)))*IF($M25="High",3,IF($M25="Medium",2,1))/IF($O25="S",1,IF($O25="M",2,3)))</f>
        <v>24</v>
      </c>
      <c r="O25" s="8" t="s">
        <v>33</v>
      </c>
      <c r="P25" s="8" t="s">
        <v>354</v>
      </c>
      <c r="Q25" s="8" t="s">
        <v>355</v>
      </c>
      <c r="R25" s="8" t="s">
        <v>356</v>
      </c>
      <c r="S25" s="8"/>
      <c r="T25" s="8"/>
    </row>
    <row r="26" customFormat="false" ht="15" hidden="false" customHeight="true" outlineLevel="0" collapsed="false">
      <c r="A26" s="8" t="s">
        <v>357</v>
      </c>
      <c r="B26" s="8" t="s">
        <v>56</v>
      </c>
      <c r="C26" s="8" t="s">
        <v>302</v>
      </c>
      <c r="D26" s="8" t="s">
        <v>46</v>
      </c>
      <c r="E26" s="8" t="s">
        <v>330</v>
      </c>
      <c r="F26" s="8" t="s">
        <v>358</v>
      </c>
      <c r="G26" s="8" t="s">
        <v>359</v>
      </c>
      <c r="H26" s="8" t="s">
        <v>136</v>
      </c>
      <c r="I26" s="8" t="s">
        <v>360</v>
      </c>
      <c r="J26" s="8" t="s">
        <v>361</v>
      </c>
      <c r="K26" s="8" t="s">
        <v>362</v>
      </c>
      <c r="L26" s="8" t="s">
        <v>12</v>
      </c>
      <c r="M26" s="8" t="s">
        <v>25</v>
      </c>
      <c r="N26" s="8" t="n">
        <f aca="false">IF(OR($L26="",$M26="",$O26=""),"",IF($L26="S1",8,IF($L26="S2",4,IF($L26="S3",2,1)))*IF($M26="High",3,IF($M26="Medium",2,1))/IF($O26="S",1,IF($O26="M",2,3)))</f>
        <v>24</v>
      </c>
      <c r="O26" s="8" t="s">
        <v>33</v>
      </c>
      <c r="P26" s="8" t="s">
        <v>363</v>
      </c>
      <c r="Q26" s="8" t="s">
        <v>358</v>
      </c>
      <c r="R26" s="8" t="s">
        <v>364</v>
      </c>
      <c r="S26" s="8"/>
      <c r="T26" s="8"/>
    </row>
    <row r="27" customFormat="false" ht="15" hidden="false" customHeight="true" outlineLevel="0" collapsed="false">
      <c r="A27" s="8" t="s">
        <v>365</v>
      </c>
      <c r="B27" s="8" t="s">
        <v>87</v>
      </c>
      <c r="C27" s="8" t="s">
        <v>302</v>
      </c>
      <c r="D27" s="8" t="s">
        <v>46</v>
      </c>
      <c r="E27" s="8" t="s">
        <v>348</v>
      </c>
      <c r="F27" s="8" t="s">
        <v>366</v>
      </c>
      <c r="G27" s="8" t="s">
        <v>367</v>
      </c>
      <c r="H27" s="8" t="s">
        <v>136</v>
      </c>
      <c r="I27" s="8" t="s">
        <v>368</v>
      </c>
      <c r="J27" s="8" t="s">
        <v>369</v>
      </c>
      <c r="K27" s="8" t="s">
        <v>370</v>
      </c>
      <c r="L27" s="8" t="s">
        <v>15</v>
      </c>
      <c r="M27" s="8" t="s">
        <v>25</v>
      </c>
      <c r="N27" s="8" t="n">
        <f aca="false">IF(OR($L27="",$M27="",$O27=""),"",IF($L27="S1",8,IF($L27="S2",4,IF($L27="S3",2,1)))*IF($M27="High",3,IF($M27="Medium",2,1))/IF($O27="S",1,IF($O27="M",2,3)))</f>
        <v>12</v>
      </c>
      <c r="O27" s="8" t="s">
        <v>33</v>
      </c>
      <c r="P27" s="8" t="s">
        <v>371</v>
      </c>
      <c r="Q27" s="8" t="s">
        <v>366</v>
      </c>
      <c r="R27" s="8" t="s">
        <v>372</v>
      </c>
      <c r="S27" s="8"/>
      <c r="T27" s="8"/>
    </row>
    <row r="28" customFormat="false" ht="15" hidden="false" customHeight="true" outlineLevel="0" collapsed="false">
      <c r="A28" s="8" t="s">
        <v>373</v>
      </c>
      <c r="B28" s="8" t="s">
        <v>87</v>
      </c>
      <c r="C28" s="8" t="s">
        <v>302</v>
      </c>
      <c r="D28" s="8" t="s">
        <v>46</v>
      </c>
      <c r="E28" s="8" t="s">
        <v>348</v>
      </c>
      <c r="F28" s="8" t="s">
        <v>374</v>
      </c>
      <c r="G28" s="8" t="s">
        <v>375</v>
      </c>
      <c r="H28" s="8" t="s">
        <v>136</v>
      </c>
      <c r="I28" s="8" t="s">
        <v>376</v>
      </c>
      <c r="J28" s="8" t="s">
        <v>377</v>
      </c>
      <c r="K28" s="8" t="s">
        <v>378</v>
      </c>
      <c r="L28" s="8" t="s">
        <v>15</v>
      </c>
      <c r="M28" s="8" t="s">
        <v>28</v>
      </c>
      <c r="N28" s="8" t="n">
        <f aca="false">IF(OR($L28="",$M28="",$O28=""),"",IF($L28="S1",8,IF($L28="S2",4,IF($L28="S3",2,1)))*IF($M28="High",3,IF($M28="Medium",2,1))/IF($O28="S",1,IF($O28="M",2,3)))</f>
        <v>4</v>
      </c>
      <c r="O28" s="8" t="s">
        <v>35</v>
      </c>
      <c r="P28" s="8" t="s">
        <v>379</v>
      </c>
      <c r="Q28" s="8" t="s">
        <v>380</v>
      </c>
      <c r="R28" s="8" t="s">
        <v>381</v>
      </c>
      <c r="S28" s="8"/>
      <c r="T28" s="8"/>
    </row>
    <row r="29" customFormat="false" ht="15" hidden="false" customHeight="true" outlineLevel="0" collapsed="false">
      <c r="A29" s="8" t="s">
        <v>382</v>
      </c>
      <c r="B29" s="8" t="s">
        <v>67</v>
      </c>
      <c r="C29" s="8" t="s">
        <v>302</v>
      </c>
      <c r="D29" s="8" t="s">
        <v>46</v>
      </c>
      <c r="E29" s="8" t="s">
        <v>134</v>
      </c>
      <c r="F29" s="8" t="s">
        <v>383</v>
      </c>
      <c r="G29" s="8" t="s">
        <v>384</v>
      </c>
      <c r="H29" s="8" t="s">
        <v>157</v>
      </c>
      <c r="I29" s="8" t="s">
        <v>385</v>
      </c>
      <c r="J29" s="8" t="s">
        <v>386</v>
      </c>
      <c r="K29" s="8" t="s">
        <v>387</v>
      </c>
      <c r="L29" s="8" t="s">
        <v>15</v>
      </c>
      <c r="M29" s="8" t="s">
        <v>25</v>
      </c>
      <c r="N29" s="8" t="n">
        <f aca="false">IF(OR($L29="",$M29="",$O29=""),"",IF($L29="S1",8,IF($L29="S2",4,IF($L29="S3",2,1)))*IF($M29="High",3,IF($M29="Medium",2,1))/IF($O29="S",1,IF($O29="M",2,3)))</f>
        <v>12</v>
      </c>
      <c r="O29" s="8" t="s">
        <v>33</v>
      </c>
      <c r="P29" s="8" t="s">
        <v>388</v>
      </c>
      <c r="Q29" s="8" t="s">
        <v>383</v>
      </c>
      <c r="R29" s="8" t="s">
        <v>389</v>
      </c>
      <c r="S29" s="8"/>
      <c r="T29" s="8"/>
    </row>
    <row r="30" customFormat="false" ht="15" hidden="false" customHeight="true" outlineLevel="0" collapsed="false">
      <c r="A30" s="8" t="s">
        <v>390</v>
      </c>
      <c r="B30" s="8" t="s">
        <v>95</v>
      </c>
      <c r="C30" s="8" t="s">
        <v>302</v>
      </c>
      <c r="D30" s="8" t="s">
        <v>46</v>
      </c>
      <c r="E30" s="8" t="s">
        <v>391</v>
      </c>
      <c r="F30" s="8" t="s">
        <v>392</v>
      </c>
      <c r="G30" s="8" t="s">
        <v>393</v>
      </c>
      <c r="H30" s="8" t="s">
        <v>127</v>
      </c>
      <c r="I30" s="8" t="s">
        <v>394</v>
      </c>
      <c r="J30" s="8" t="s">
        <v>395</v>
      </c>
      <c r="K30" s="8" t="s">
        <v>396</v>
      </c>
      <c r="L30" s="8" t="s">
        <v>15</v>
      </c>
      <c r="M30" s="8" t="s">
        <v>28</v>
      </c>
      <c r="N30" s="8" t="n">
        <f aca="false">IF(OR($L30="",$M30="",$O30=""),"",IF($L30="S1",8,IF($L30="S2",4,IF($L30="S3",2,1)))*IF($M30="High",3,IF($M30="Medium",2,1))/IF($O30="S",1,IF($O30="M",2,3)))</f>
        <v>8</v>
      </c>
      <c r="O30" s="8" t="s">
        <v>33</v>
      </c>
      <c r="P30" s="8" t="s">
        <v>397</v>
      </c>
      <c r="Q30" s="8" t="s">
        <v>398</v>
      </c>
      <c r="R30" s="8" t="s">
        <v>399</v>
      </c>
      <c r="S30" s="8"/>
      <c r="T30" s="8"/>
    </row>
    <row r="31" customFormat="false" ht="15" hidden="false" customHeight="true" outlineLevel="0" collapsed="false">
      <c r="A31" s="8" t="s">
        <v>400</v>
      </c>
      <c r="B31" s="8" t="s">
        <v>67</v>
      </c>
      <c r="C31" s="8" t="s">
        <v>302</v>
      </c>
      <c r="D31" s="8" t="s">
        <v>46</v>
      </c>
      <c r="E31" s="8" t="s">
        <v>134</v>
      </c>
      <c r="F31" s="8" t="s">
        <v>401</v>
      </c>
      <c r="G31" s="8" t="s">
        <v>402</v>
      </c>
      <c r="H31" s="8" t="s">
        <v>127</v>
      </c>
      <c r="I31" s="8" t="s">
        <v>403</v>
      </c>
      <c r="J31" s="8" t="s">
        <v>404</v>
      </c>
      <c r="K31" s="8" t="s">
        <v>405</v>
      </c>
      <c r="L31" s="8" t="s">
        <v>18</v>
      </c>
      <c r="M31" s="8" t="s">
        <v>28</v>
      </c>
      <c r="N31" s="8" t="n">
        <f aca="false">IF(OR($L31="",$M31="",$O31=""),"",IF($L31="S1",8,IF($L31="S2",4,IF($L31="S3",2,1)))*IF($M31="High",3,IF($M31="Medium",2,1))/IF($O31="S",1,IF($O31="M",2,3)))</f>
        <v>2</v>
      </c>
      <c r="O31" s="8" t="s">
        <v>35</v>
      </c>
      <c r="P31" s="8" t="s">
        <v>406</v>
      </c>
      <c r="Q31" s="8" t="s">
        <v>407</v>
      </c>
      <c r="R31" s="8" t="s">
        <v>408</v>
      </c>
      <c r="S31" s="8"/>
      <c r="T31" s="8"/>
    </row>
    <row r="32" customFormat="false" ht="15" hidden="false" customHeight="true" outlineLevel="0" collapsed="false">
      <c r="A32" s="8" t="s">
        <v>409</v>
      </c>
      <c r="B32" s="8" t="s">
        <v>67</v>
      </c>
      <c r="C32" s="8" t="s">
        <v>302</v>
      </c>
      <c r="D32" s="8" t="s">
        <v>46</v>
      </c>
      <c r="E32" s="8" t="s">
        <v>134</v>
      </c>
      <c r="F32" s="8" t="s">
        <v>410</v>
      </c>
      <c r="G32" s="8" t="s">
        <v>411</v>
      </c>
      <c r="H32" s="8" t="s">
        <v>127</v>
      </c>
      <c r="I32" s="8" t="s">
        <v>412</v>
      </c>
      <c r="J32" s="8" t="s">
        <v>413</v>
      </c>
      <c r="K32" s="8" t="s">
        <v>414</v>
      </c>
      <c r="L32" s="8" t="s">
        <v>18</v>
      </c>
      <c r="M32" s="8" t="s">
        <v>28</v>
      </c>
      <c r="N32" s="8" t="n">
        <f aca="false">IF(OR($L32="",$M32="",$O32=""),"",IF($L32="S1",8,IF($L32="S2",4,IF($L32="S3",2,1)))*IF($M32="High",3,IF($M32="Medium",2,1))/IF($O32="S",1,IF($O32="M",2,3)))</f>
        <v>4</v>
      </c>
      <c r="O32" s="8" t="s">
        <v>33</v>
      </c>
      <c r="P32" s="8" t="s">
        <v>415</v>
      </c>
      <c r="Q32" s="8" t="s">
        <v>416</v>
      </c>
      <c r="R32" s="8" t="s">
        <v>417</v>
      </c>
      <c r="S32" s="8"/>
      <c r="T32" s="8"/>
    </row>
    <row r="33" customFormat="false" ht="15" hidden="false" customHeight="true" outlineLevel="0" collapsed="false">
      <c r="A33" s="8" t="s">
        <v>418</v>
      </c>
      <c r="B33" s="8" t="s">
        <v>75</v>
      </c>
      <c r="C33" s="8" t="s">
        <v>302</v>
      </c>
      <c r="D33" s="8" t="s">
        <v>46</v>
      </c>
      <c r="E33" s="8" t="s">
        <v>419</v>
      </c>
      <c r="F33" s="8" t="s">
        <v>243</v>
      </c>
      <c r="G33" s="8" t="s">
        <v>420</v>
      </c>
      <c r="H33" s="8" t="s">
        <v>157</v>
      </c>
      <c r="I33" s="8" t="s">
        <v>421</v>
      </c>
      <c r="J33" s="8" t="s">
        <v>422</v>
      </c>
      <c r="K33" s="8" t="s">
        <v>423</v>
      </c>
      <c r="L33" s="8" t="s">
        <v>18</v>
      </c>
      <c r="M33" s="8" t="s">
        <v>28</v>
      </c>
      <c r="N33" s="8" t="n">
        <f aca="false">IF(OR($L33="",$M33="",$O33=""),"",IF($L33="S1",8,IF($L33="S2",4,IF($L33="S3",2,1)))*IF($M33="High",3,IF($M33="Medium",2,1))/IF($O33="S",1,IF($O33="M",2,3)))</f>
        <v>4</v>
      </c>
      <c r="O33" s="8" t="s">
        <v>33</v>
      </c>
      <c r="P33" s="8" t="s">
        <v>424</v>
      </c>
      <c r="Q33" s="8" t="s">
        <v>243</v>
      </c>
      <c r="R33" s="8" t="s">
        <v>425</v>
      </c>
      <c r="S33" s="8"/>
      <c r="T33" s="8"/>
    </row>
    <row r="34" customFormat="false" ht="15" hidden="false" customHeight="true" outlineLevel="0" collapsed="false">
      <c r="A34" s="8" t="s">
        <v>426</v>
      </c>
      <c r="B34" s="8" t="s">
        <v>87</v>
      </c>
      <c r="C34" s="8" t="s">
        <v>302</v>
      </c>
      <c r="D34" s="8" t="s">
        <v>46</v>
      </c>
      <c r="E34" s="8" t="s">
        <v>348</v>
      </c>
      <c r="F34" s="8" t="s">
        <v>427</v>
      </c>
      <c r="G34" s="8" t="s">
        <v>428</v>
      </c>
      <c r="H34" s="8" t="s">
        <v>136</v>
      </c>
      <c r="I34" s="8" t="s">
        <v>429</v>
      </c>
      <c r="J34" s="8" t="s">
        <v>430</v>
      </c>
      <c r="K34" s="8" t="s">
        <v>431</v>
      </c>
      <c r="L34" s="8" t="s">
        <v>18</v>
      </c>
      <c r="M34" s="8" t="s">
        <v>30</v>
      </c>
      <c r="N34" s="8" t="n">
        <f aca="false">IF(OR($L34="",$M34="",$O34=""),"",IF($L34="S1",8,IF($L34="S2",4,IF($L34="S3",2,1)))*IF($M34="High",3,IF($M34="Medium",2,1))/IF($O34="S",1,IF($O34="M",2,3)))</f>
        <v>2</v>
      </c>
      <c r="O34" s="8" t="s">
        <v>33</v>
      </c>
      <c r="P34" s="8" t="s">
        <v>432</v>
      </c>
      <c r="Q34" s="8" t="s">
        <v>433</v>
      </c>
      <c r="R34" s="8" t="s">
        <v>434</v>
      </c>
      <c r="S34" s="8"/>
      <c r="T34" s="8"/>
    </row>
    <row r="35" customFormat="false" ht="15" hidden="false" customHeight="true" outlineLevel="0" collapsed="false">
      <c r="A35" s="8" t="s">
        <v>435</v>
      </c>
      <c r="B35" s="8" t="s">
        <v>64</v>
      </c>
      <c r="C35" s="8" t="s">
        <v>302</v>
      </c>
      <c r="D35" s="8" t="s">
        <v>46</v>
      </c>
      <c r="E35" s="8" t="s">
        <v>436</v>
      </c>
      <c r="F35" s="8" t="s">
        <v>437</v>
      </c>
      <c r="G35" s="8" t="s">
        <v>438</v>
      </c>
      <c r="H35" s="8" t="s">
        <v>157</v>
      </c>
      <c r="I35" s="8" t="s">
        <v>439</v>
      </c>
      <c r="J35" s="8" t="s">
        <v>440</v>
      </c>
      <c r="K35" s="8" t="s">
        <v>441</v>
      </c>
      <c r="L35" s="8" t="s">
        <v>18</v>
      </c>
      <c r="M35" s="8" t="s">
        <v>25</v>
      </c>
      <c r="N35" s="8" t="n">
        <f aca="false">IF(OR($L35="",$M35="",$O35=""),"",IF($L35="S1",8,IF($L35="S2",4,IF($L35="S3",2,1)))*IF($M35="High",3,IF($M35="Medium",2,1))/IF($O35="S",1,IF($O35="M",2,3)))</f>
        <v>6</v>
      </c>
      <c r="O35" s="8" t="s">
        <v>33</v>
      </c>
      <c r="P35" s="8" t="s">
        <v>442</v>
      </c>
      <c r="Q35" s="8" t="s">
        <v>443</v>
      </c>
      <c r="R35" s="8" t="s">
        <v>444</v>
      </c>
      <c r="S35" s="8"/>
      <c r="T35" s="8"/>
    </row>
    <row r="36" customFormat="false" ht="15" hidden="false" customHeight="true" outlineLevel="0" collapsed="false">
      <c r="A36" s="8" t="s">
        <v>445</v>
      </c>
      <c r="B36" s="8" t="s">
        <v>64</v>
      </c>
      <c r="C36" s="8" t="s">
        <v>302</v>
      </c>
      <c r="D36" s="8" t="s">
        <v>46</v>
      </c>
      <c r="E36" s="8" t="s">
        <v>436</v>
      </c>
      <c r="F36" s="8" t="s">
        <v>446</v>
      </c>
      <c r="G36" s="8" t="s">
        <v>447</v>
      </c>
      <c r="H36" s="8" t="s">
        <v>157</v>
      </c>
      <c r="I36" s="8" t="s">
        <v>448</v>
      </c>
      <c r="J36" s="8" t="s">
        <v>449</v>
      </c>
      <c r="K36" s="8" t="s">
        <v>450</v>
      </c>
      <c r="L36" s="8" t="s">
        <v>18</v>
      </c>
      <c r="M36" s="8" t="s">
        <v>28</v>
      </c>
      <c r="N36" s="8" t="n">
        <f aca="false">IF(OR($L36="",$M36="",$O36=""),"",IF($L36="S1",8,IF($L36="S2",4,IF($L36="S3",2,1)))*IF($M36="High",3,IF($M36="Medium",2,1))/IF($O36="S",1,IF($O36="M",2,3)))</f>
        <v>4</v>
      </c>
      <c r="O36" s="8" t="s">
        <v>33</v>
      </c>
      <c r="P36" s="8" t="s">
        <v>451</v>
      </c>
      <c r="Q36" s="8" t="s">
        <v>452</v>
      </c>
      <c r="R36" s="8" t="s">
        <v>453</v>
      </c>
      <c r="S36" s="8"/>
      <c r="T36" s="8"/>
    </row>
    <row r="37" customFormat="false" ht="15" hidden="false" customHeight="true" outlineLevel="0" collapsed="false">
      <c r="A37" s="8" t="s">
        <v>454</v>
      </c>
      <c r="B37" s="8" t="s">
        <v>60</v>
      </c>
      <c r="C37" s="8" t="s">
        <v>302</v>
      </c>
      <c r="D37" s="8" t="s">
        <v>46</v>
      </c>
      <c r="E37" s="8" t="s">
        <v>233</v>
      </c>
      <c r="F37" s="8" t="s">
        <v>455</v>
      </c>
      <c r="G37" s="8" t="s">
        <v>456</v>
      </c>
      <c r="H37" s="8" t="s">
        <v>457</v>
      </c>
      <c r="I37" s="8" t="s">
        <v>458</v>
      </c>
      <c r="J37" s="8" t="s">
        <v>459</v>
      </c>
      <c r="K37" s="8" t="s">
        <v>460</v>
      </c>
      <c r="L37" s="8" t="s">
        <v>18</v>
      </c>
      <c r="M37" s="8" t="s">
        <v>28</v>
      </c>
      <c r="N37" s="8" t="n">
        <f aca="false">IF(OR($L37="",$M37="",$O37=""),"",IF($L37="S1",8,IF($L37="S2",4,IF($L37="S3",2,1)))*IF($M37="High",3,IF($M37="Medium",2,1))/IF($O37="S",1,IF($O37="M",2,3)))</f>
        <v>2</v>
      </c>
      <c r="O37" s="8" t="s">
        <v>35</v>
      </c>
      <c r="P37" s="8" t="s">
        <v>461</v>
      </c>
      <c r="Q37" s="8" t="s">
        <v>462</v>
      </c>
      <c r="R37" s="8" t="s">
        <v>463</v>
      </c>
      <c r="S37" s="8"/>
      <c r="T37" s="8"/>
    </row>
    <row r="38" customFormat="false" ht="15" hidden="false" customHeight="true" outlineLevel="0" collapsed="false">
      <c r="A38" s="8" t="s">
        <v>464</v>
      </c>
      <c r="B38" s="8" t="s">
        <v>60</v>
      </c>
      <c r="C38" s="8" t="s">
        <v>302</v>
      </c>
      <c r="D38" s="8" t="s">
        <v>46</v>
      </c>
      <c r="E38" s="8" t="s">
        <v>233</v>
      </c>
      <c r="F38" s="8" t="s">
        <v>465</v>
      </c>
      <c r="G38" s="8" t="s">
        <v>466</v>
      </c>
      <c r="H38" s="8" t="s">
        <v>457</v>
      </c>
      <c r="I38" s="8" t="s">
        <v>467</v>
      </c>
      <c r="J38" s="8" t="s">
        <v>468</v>
      </c>
      <c r="K38" s="8" t="s">
        <v>469</v>
      </c>
      <c r="L38" s="8" t="s">
        <v>18</v>
      </c>
      <c r="M38" s="8" t="s">
        <v>28</v>
      </c>
      <c r="N38" s="8" t="n">
        <f aca="false">IF(OR($L38="",$M38="",$O38=""),"",IF($L38="S1",8,IF($L38="S2",4,IF($L38="S3",2,1)))*IF($M38="High",3,IF($M38="Medium",2,1))/IF($O38="S",1,IF($O38="M",2,3)))</f>
        <v>2</v>
      </c>
      <c r="O38" s="8" t="s">
        <v>35</v>
      </c>
      <c r="P38" s="8" t="s">
        <v>470</v>
      </c>
      <c r="Q38" s="8" t="s">
        <v>471</v>
      </c>
      <c r="R38" s="8" t="s">
        <v>472</v>
      </c>
      <c r="S38" s="8"/>
      <c r="T38" s="8"/>
    </row>
    <row r="39" customFormat="false" ht="15" hidden="false" customHeight="true" outlineLevel="0" collapsed="false">
      <c r="A39" s="8" t="s">
        <v>473</v>
      </c>
      <c r="B39" s="8" t="s">
        <v>67</v>
      </c>
      <c r="C39" s="8" t="s">
        <v>302</v>
      </c>
      <c r="D39" s="8" t="s">
        <v>46</v>
      </c>
      <c r="E39" s="8" t="s">
        <v>134</v>
      </c>
      <c r="F39" s="8" t="s">
        <v>474</v>
      </c>
      <c r="G39" s="8" t="s">
        <v>475</v>
      </c>
      <c r="H39" s="8" t="s">
        <v>476</v>
      </c>
      <c r="I39" s="8" t="s">
        <v>477</v>
      </c>
      <c r="J39" s="8" t="s">
        <v>478</v>
      </c>
      <c r="K39" s="8" t="s">
        <v>479</v>
      </c>
      <c r="L39" s="8" t="s">
        <v>18</v>
      </c>
      <c r="M39" s="8" t="s">
        <v>28</v>
      </c>
      <c r="N39" s="8" t="n">
        <f aca="false">IF(OR($L39="",$M39="",$O39=""),"",IF($L39="S1",8,IF($L39="S2",4,IF($L39="S3",2,1)))*IF($M39="High",3,IF($M39="Medium",2,1))/IF($O39="S",1,IF($O39="M",2,3)))</f>
        <v>2</v>
      </c>
      <c r="O39" s="8" t="s">
        <v>35</v>
      </c>
      <c r="P39" s="8" t="s">
        <v>480</v>
      </c>
      <c r="Q39" s="8" t="s">
        <v>474</v>
      </c>
      <c r="R39" s="8" t="s">
        <v>481</v>
      </c>
      <c r="S39" s="8"/>
      <c r="T39" s="8"/>
    </row>
    <row r="40" customFormat="false" ht="15" hidden="false" customHeight="true" outlineLevel="0" collapsed="false">
      <c r="A40" s="8" t="s">
        <v>482</v>
      </c>
      <c r="B40" s="8" t="s">
        <v>64</v>
      </c>
      <c r="C40" s="8" t="s">
        <v>302</v>
      </c>
      <c r="D40" s="8" t="s">
        <v>46</v>
      </c>
      <c r="E40" s="8" t="s">
        <v>436</v>
      </c>
      <c r="F40" s="8" t="s">
        <v>483</v>
      </c>
      <c r="G40" s="8" t="s">
        <v>484</v>
      </c>
      <c r="H40" s="8" t="s">
        <v>476</v>
      </c>
      <c r="I40" s="8" t="s">
        <v>485</v>
      </c>
      <c r="J40" s="8" t="s">
        <v>486</v>
      </c>
      <c r="K40" s="8" t="s">
        <v>487</v>
      </c>
      <c r="L40" s="8" t="s">
        <v>18</v>
      </c>
      <c r="M40" s="8" t="s">
        <v>28</v>
      </c>
      <c r="N40" s="8" t="n">
        <f aca="false">IF(OR($L40="",$M40="",$O40=""),"",IF($L40="S1",8,IF($L40="S2",4,IF($L40="S3",2,1)))*IF($M40="High",3,IF($M40="Medium",2,1))/IF($O40="S",1,IF($O40="M",2,3)))</f>
        <v>2</v>
      </c>
      <c r="O40" s="8" t="s">
        <v>35</v>
      </c>
      <c r="P40" s="8" t="s">
        <v>488</v>
      </c>
      <c r="Q40" s="8" t="s">
        <v>489</v>
      </c>
      <c r="R40" s="8" t="s">
        <v>490</v>
      </c>
      <c r="S40" s="8"/>
      <c r="T40" s="8"/>
    </row>
    <row r="41" customFormat="false" ht="15" hidden="false" customHeight="true" outlineLevel="0" collapsed="false">
      <c r="A41" s="8" t="s">
        <v>491</v>
      </c>
      <c r="B41" s="8" t="s">
        <v>60</v>
      </c>
      <c r="C41" s="8" t="s">
        <v>302</v>
      </c>
      <c r="D41" s="8" t="s">
        <v>46</v>
      </c>
      <c r="E41" s="8" t="s">
        <v>233</v>
      </c>
      <c r="F41" s="8" t="s">
        <v>492</v>
      </c>
      <c r="G41" s="8" t="s">
        <v>493</v>
      </c>
      <c r="H41" s="8" t="s">
        <v>476</v>
      </c>
      <c r="I41" s="8" t="s">
        <v>494</v>
      </c>
      <c r="J41" s="8" t="s">
        <v>495</v>
      </c>
      <c r="K41" s="8" t="s">
        <v>496</v>
      </c>
      <c r="L41" s="8" t="s">
        <v>18</v>
      </c>
      <c r="M41" s="8" t="s">
        <v>28</v>
      </c>
      <c r="N41" s="8" t="n">
        <f aca="false">IF(OR($L41="",$M41="",$O41=""),"",IF($L41="S1",8,IF($L41="S2",4,IF($L41="S3",2,1)))*IF($M41="High",3,IF($M41="Medium",2,1))/IF($O41="S",1,IF($O41="M",2,3)))</f>
        <v>4</v>
      </c>
      <c r="O41" s="8" t="s">
        <v>33</v>
      </c>
      <c r="P41" s="8" t="s">
        <v>497</v>
      </c>
      <c r="Q41" s="8" t="s">
        <v>492</v>
      </c>
      <c r="R41" s="8" t="s">
        <v>498</v>
      </c>
      <c r="S41" s="8"/>
      <c r="T41" s="8"/>
    </row>
    <row r="42" customFormat="false" ht="15" hidden="false" customHeight="true" outlineLevel="0" collapsed="false">
      <c r="A42" s="8" t="s">
        <v>499</v>
      </c>
      <c r="B42" s="8" t="s">
        <v>60</v>
      </c>
      <c r="C42" s="8" t="s">
        <v>302</v>
      </c>
      <c r="D42" s="8" t="s">
        <v>46</v>
      </c>
      <c r="E42" s="8" t="s">
        <v>233</v>
      </c>
      <c r="F42" s="8" t="s">
        <v>500</v>
      </c>
      <c r="G42" s="8" t="s">
        <v>501</v>
      </c>
      <c r="H42" s="8" t="s">
        <v>169</v>
      </c>
      <c r="I42" s="8" t="s">
        <v>502</v>
      </c>
      <c r="J42" s="8" t="s">
        <v>503</v>
      </c>
      <c r="K42" s="8" t="s">
        <v>504</v>
      </c>
      <c r="L42" s="8" t="s">
        <v>18</v>
      </c>
      <c r="M42" s="8" t="s">
        <v>28</v>
      </c>
      <c r="N42" s="8" t="n">
        <f aca="false">IF(OR($L42="",$M42="",$O42=""),"",IF($L42="S1",8,IF($L42="S2",4,IF($L42="S3",2,1)))*IF($M42="High",3,IF($M42="Medium",2,1))/IF($O42="S",1,IF($O42="M",2,3)))</f>
        <v>1.33333333333333</v>
      </c>
      <c r="O42" s="8" t="s">
        <v>37</v>
      </c>
      <c r="P42" s="8" t="s">
        <v>505</v>
      </c>
      <c r="Q42" s="8" t="s">
        <v>506</v>
      </c>
      <c r="R42" s="8" t="s">
        <v>507</v>
      </c>
      <c r="S42" s="8"/>
      <c r="T42" s="8"/>
    </row>
    <row r="43" customFormat="false" ht="15" hidden="false" customHeight="true" outlineLevel="0" collapsed="false">
      <c r="A43" s="8" t="s">
        <v>508</v>
      </c>
      <c r="B43" s="8" t="s">
        <v>75</v>
      </c>
      <c r="C43" s="8" t="s">
        <v>302</v>
      </c>
      <c r="D43" s="8" t="s">
        <v>46</v>
      </c>
      <c r="E43" s="8" t="s">
        <v>419</v>
      </c>
      <c r="F43" s="8" t="s">
        <v>509</v>
      </c>
      <c r="G43" s="8" t="s">
        <v>510</v>
      </c>
      <c r="H43" s="8" t="s">
        <v>169</v>
      </c>
      <c r="I43" s="8" t="s">
        <v>511</v>
      </c>
      <c r="J43" s="8" t="s">
        <v>512</v>
      </c>
      <c r="K43" s="8" t="s">
        <v>513</v>
      </c>
      <c r="L43" s="8" t="s">
        <v>18</v>
      </c>
      <c r="M43" s="8" t="s">
        <v>30</v>
      </c>
      <c r="N43" s="8" t="n">
        <f aca="false">IF(OR($L43="",$M43="",$O43=""),"",IF($L43="S1",8,IF($L43="S2",4,IF($L43="S3",2,1)))*IF($M43="High",3,IF($M43="Medium",2,1))/IF($O43="S",1,IF($O43="M",2,3)))</f>
        <v>2</v>
      </c>
      <c r="O43" s="8" t="s">
        <v>33</v>
      </c>
      <c r="P43" s="8" t="s">
        <v>514</v>
      </c>
      <c r="Q43" s="8" t="s">
        <v>509</v>
      </c>
      <c r="R43" s="8" t="s">
        <v>515</v>
      </c>
      <c r="S43" s="8"/>
      <c r="T43" s="8"/>
    </row>
    <row r="44" customFormat="false" ht="15" hidden="false" customHeight="true" outlineLevel="0" collapsed="false">
      <c r="A44" s="8" t="s">
        <v>516</v>
      </c>
      <c r="B44" s="8" t="s">
        <v>71</v>
      </c>
      <c r="C44" s="8" t="s">
        <v>302</v>
      </c>
      <c r="D44" s="8" t="s">
        <v>46</v>
      </c>
      <c r="E44" s="8" t="s">
        <v>251</v>
      </c>
      <c r="F44" s="8" t="s">
        <v>492</v>
      </c>
      <c r="G44" s="8" t="s">
        <v>517</v>
      </c>
      <c r="H44" s="8" t="s">
        <v>136</v>
      </c>
      <c r="I44" s="8" t="s">
        <v>518</v>
      </c>
      <c r="J44" s="8" t="s">
        <v>519</v>
      </c>
      <c r="K44" s="8" t="s">
        <v>520</v>
      </c>
      <c r="L44" s="8" t="s">
        <v>18</v>
      </c>
      <c r="M44" s="8" t="s">
        <v>30</v>
      </c>
      <c r="N44" s="8" t="n">
        <f aca="false">IF(OR($L44="",$M44="",$O44=""),"",IF($L44="S1",8,IF($L44="S2",4,IF($L44="S3",2,1)))*IF($M44="High",3,IF($M44="Medium",2,1))/IF($O44="S",1,IF($O44="M",2,3)))</f>
        <v>1</v>
      </c>
      <c r="O44" s="8" t="s">
        <v>35</v>
      </c>
      <c r="P44" s="8" t="s">
        <v>521</v>
      </c>
      <c r="Q44" s="8" t="s">
        <v>522</v>
      </c>
      <c r="R44" s="8" t="s">
        <v>523</v>
      </c>
      <c r="S44" s="8"/>
      <c r="T44" s="8"/>
    </row>
    <row r="45" customFormat="false" ht="15" hidden="false" customHeight="true" outlineLevel="0" collapsed="false">
      <c r="A45" s="8" t="s">
        <v>524</v>
      </c>
      <c r="B45" s="8" t="s">
        <v>64</v>
      </c>
      <c r="C45" s="8" t="s">
        <v>302</v>
      </c>
      <c r="D45" s="8" t="s">
        <v>46</v>
      </c>
      <c r="E45" s="8" t="s">
        <v>436</v>
      </c>
      <c r="F45" s="8" t="s">
        <v>525</v>
      </c>
      <c r="G45" s="8" t="s">
        <v>526</v>
      </c>
      <c r="H45" s="8" t="s">
        <v>169</v>
      </c>
      <c r="I45" s="8" t="s">
        <v>527</v>
      </c>
      <c r="J45" s="8" t="s">
        <v>528</v>
      </c>
      <c r="K45" s="8" t="s">
        <v>529</v>
      </c>
      <c r="L45" s="8" t="s">
        <v>15</v>
      </c>
      <c r="M45" s="8" t="s">
        <v>28</v>
      </c>
      <c r="N45" s="8" t="n">
        <f aca="false">IF(OR($L45="",$M45="",$O45=""),"",IF($L45="S1",8,IF($L45="S2",4,IF($L45="S3",2,1)))*IF($M45="High",3,IF($M45="Medium",2,1))/IF($O45="S",1,IF($O45="M",2,3)))</f>
        <v>8</v>
      </c>
      <c r="O45" s="8" t="s">
        <v>33</v>
      </c>
      <c r="P45" s="8" t="s">
        <v>530</v>
      </c>
      <c r="Q45" s="8" t="s">
        <v>531</v>
      </c>
      <c r="R45" s="8" t="s">
        <v>532</v>
      </c>
      <c r="S45" s="8"/>
      <c r="T45" s="8"/>
    </row>
    <row r="46" customFormat="false" ht="15" hidden="false" customHeight="true" outlineLevel="0" collapsed="false">
      <c r="A46" s="8" t="s">
        <v>533</v>
      </c>
      <c r="B46" s="8" t="s">
        <v>64</v>
      </c>
      <c r="C46" s="8" t="s">
        <v>302</v>
      </c>
      <c r="D46" s="8" t="s">
        <v>46</v>
      </c>
      <c r="E46" s="8" t="s">
        <v>436</v>
      </c>
      <c r="F46" s="8" t="s">
        <v>525</v>
      </c>
      <c r="G46" s="8" t="s">
        <v>534</v>
      </c>
      <c r="H46" s="8" t="s">
        <v>127</v>
      </c>
      <c r="I46" s="8" t="s">
        <v>535</v>
      </c>
      <c r="J46" s="8" t="s">
        <v>536</v>
      </c>
      <c r="K46" s="8" t="s">
        <v>537</v>
      </c>
      <c r="L46" s="8" t="s">
        <v>18</v>
      </c>
      <c r="M46" s="8" t="s">
        <v>28</v>
      </c>
      <c r="N46" s="8" t="n">
        <f aca="false">IF(OR($L46="",$M46="",$O46=""),"",IF($L46="S1",8,IF($L46="S2",4,IF($L46="S3",2,1)))*IF($M46="High",3,IF($M46="Medium",2,1))/IF($O46="S",1,IF($O46="M",2,3)))</f>
        <v>4</v>
      </c>
      <c r="O46" s="8" t="s">
        <v>33</v>
      </c>
      <c r="P46" s="8" t="s">
        <v>538</v>
      </c>
      <c r="Q46" s="8" t="s">
        <v>525</v>
      </c>
      <c r="R46" s="8" t="s">
        <v>539</v>
      </c>
      <c r="S46" s="8"/>
      <c r="T46" s="8"/>
    </row>
    <row r="47" customFormat="false" ht="15" hidden="false" customHeight="true" outlineLevel="0" collapsed="false">
      <c r="A47" s="8" t="s">
        <v>540</v>
      </c>
      <c r="B47" s="8" t="s">
        <v>64</v>
      </c>
      <c r="C47" s="8" t="s">
        <v>302</v>
      </c>
      <c r="D47" s="8" t="s">
        <v>46</v>
      </c>
      <c r="E47" s="8" t="s">
        <v>436</v>
      </c>
      <c r="F47" s="8" t="s">
        <v>525</v>
      </c>
      <c r="G47" s="8" t="s">
        <v>541</v>
      </c>
      <c r="H47" s="8" t="s">
        <v>127</v>
      </c>
      <c r="I47" s="8" t="s">
        <v>542</v>
      </c>
      <c r="J47" s="8" t="s">
        <v>543</v>
      </c>
      <c r="K47" s="8" t="s">
        <v>544</v>
      </c>
      <c r="L47" s="8" t="s">
        <v>18</v>
      </c>
      <c r="M47" s="8" t="s">
        <v>28</v>
      </c>
      <c r="N47" s="8" t="n">
        <f aca="false">IF(OR($L47="",$M47="",$O47=""),"",IF($L47="S1",8,IF($L47="S2",4,IF($L47="S3",2,1)))*IF($M47="High",3,IF($M47="Medium",2,1))/IF($O47="S",1,IF($O47="M",2,3)))</f>
        <v>4</v>
      </c>
      <c r="O47" s="8" t="s">
        <v>33</v>
      </c>
      <c r="P47" s="8" t="s">
        <v>545</v>
      </c>
      <c r="Q47" s="8" t="s">
        <v>525</v>
      </c>
      <c r="R47" s="8" t="s">
        <v>546</v>
      </c>
      <c r="S47" s="8"/>
      <c r="T47" s="8"/>
    </row>
    <row r="48" customFormat="false" ht="15" hidden="false" customHeight="true" outlineLevel="0" collapsed="false">
      <c r="A48" s="8" t="s">
        <v>547</v>
      </c>
      <c r="B48" s="8" t="s">
        <v>64</v>
      </c>
      <c r="C48" s="8" t="s">
        <v>302</v>
      </c>
      <c r="D48" s="8" t="s">
        <v>46</v>
      </c>
      <c r="E48" s="8" t="s">
        <v>436</v>
      </c>
      <c r="F48" s="8" t="s">
        <v>525</v>
      </c>
      <c r="G48" s="8" t="s">
        <v>548</v>
      </c>
      <c r="H48" s="8" t="s">
        <v>127</v>
      </c>
      <c r="I48" s="8" t="s">
        <v>549</v>
      </c>
      <c r="J48" s="8" t="s">
        <v>550</v>
      </c>
      <c r="K48" s="8" t="s">
        <v>551</v>
      </c>
      <c r="L48" s="8" t="s">
        <v>18</v>
      </c>
      <c r="M48" s="8" t="s">
        <v>30</v>
      </c>
      <c r="N48" s="8" t="n">
        <f aca="false">IF(OR($L48="",$M48="",$O48=""),"",IF($L48="S1",8,IF($L48="S2",4,IF($L48="S3",2,1)))*IF($M48="High",3,IF($M48="Medium",2,1))/IF($O48="S",1,IF($O48="M",2,3)))</f>
        <v>2</v>
      </c>
      <c r="O48" s="8" t="s">
        <v>33</v>
      </c>
      <c r="P48" s="8" t="s">
        <v>552</v>
      </c>
      <c r="Q48" s="8" t="s">
        <v>525</v>
      </c>
      <c r="R48" s="8" t="s">
        <v>553</v>
      </c>
      <c r="S48" s="8"/>
      <c r="T48" s="8"/>
    </row>
    <row r="49" customFormat="false" ht="15" hidden="false" customHeight="true" outlineLevel="0" collapsed="false">
      <c r="A49" s="8" t="s">
        <v>554</v>
      </c>
      <c r="B49" s="8" t="s">
        <v>64</v>
      </c>
      <c r="C49" s="8" t="s">
        <v>302</v>
      </c>
      <c r="D49" s="8" t="s">
        <v>46</v>
      </c>
      <c r="E49" s="8" t="s">
        <v>436</v>
      </c>
      <c r="F49" s="8" t="s">
        <v>427</v>
      </c>
      <c r="G49" s="8" t="s">
        <v>555</v>
      </c>
      <c r="H49" s="8" t="s">
        <v>136</v>
      </c>
      <c r="I49" s="8" t="s">
        <v>556</v>
      </c>
      <c r="J49" s="8" t="s">
        <v>557</v>
      </c>
      <c r="K49" s="8" t="s">
        <v>558</v>
      </c>
      <c r="L49" s="8" t="s">
        <v>18</v>
      </c>
      <c r="M49" s="8" t="s">
        <v>28</v>
      </c>
      <c r="N49" s="8" t="n">
        <f aca="false">IF(OR($L49="",$M49="",$O49=""),"",IF($L49="S1",8,IF($L49="S2",4,IF($L49="S3",2,1)))*IF($M49="High",3,IF($M49="Medium",2,1))/IF($O49="S",1,IF($O49="M",2,3)))</f>
        <v>4</v>
      </c>
      <c r="O49" s="8" t="s">
        <v>33</v>
      </c>
      <c r="P49" s="8" t="s">
        <v>559</v>
      </c>
      <c r="Q49" s="8" t="s">
        <v>427</v>
      </c>
      <c r="R49" s="8" t="s">
        <v>560</v>
      </c>
      <c r="S49" s="8"/>
      <c r="T49" s="8"/>
    </row>
    <row r="50" customFormat="false" ht="15" hidden="false" customHeight="true" outlineLevel="0" collapsed="false">
      <c r="A50" s="8" t="s">
        <v>561</v>
      </c>
      <c r="B50" s="8" t="s">
        <v>99</v>
      </c>
      <c r="C50" s="8" t="s">
        <v>302</v>
      </c>
      <c r="D50" s="8" t="s">
        <v>46</v>
      </c>
      <c r="E50" s="8" t="s">
        <v>562</v>
      </c>
      <c r="F50" s="8" t="s">
        <v>563</v>
      </c>
      <c r="G50" s="8" t="s">
        <v>564</v>
      </c>
      <c r="H50" s="8" t="s">
        <v>226</v>
      </c>
      <c r="I50" s="8" t="s">
        <v>565</v>
      </c>
      <c r="J50" s="8" t="s">
        <v>566</v>
      </c>
      <c r="K50" s="8" t="s">
        <v>567</v>
      </c>
      <c r="L50" s="8" t="s">
        <v>15</v>
      </c>
      <c r="M50" s="8" t="s">
        <v>28</v>
      </c>
      <c r="N50" s="8" t="n">
        <f aca="false">IF(OR($L50="",$M50="",$O50=""),"",IF($L50="S1",8,IF($L50="S2",4,IF($L50="S3",2,1)))*IF($M50="High",3,IF($M50="Medium",2,1))/IF($O50="S",1,IF($O50="M",2,3)))</f>
        <v>4</v>
      </c>
      <c r="O50" s="8" t="s">
        <v>35</v>
      </c>
      <c r="P50" s="8" t="s">
        <v>568</v>
      </c>
      <c r="Q50" s="8" t="s">
        <v>569</v>
      </c>
      <c r="R50" s="8" t="s">
        <v>570</v>
      </c>
      <c r="S50" s="8"/>
      <c r="T50" s="8"/>
    </row>
    <row r="51" customFormat="false" ht="15" hidden="false" customHeight="true" outlineLevel="0" collapsed="false">
      <c r="A51" s="8" t="s">
        <v>571</v>
      </c>
      <c r="B51" s="8" t="s">
        <v>99</v>
      </c>
      <c r="C51" s="8" t="s">
        <v>302</v>
      </c>
      <c r="D51" s="8" t="s">
        <v>46</v>
      </c>
      <c r="E51" s="8" t="s">
        <v>562</v>
      </c>
      <c r="F51" s="8" t="s">
        <v>572</v>
      </c>
      <c r="G51" s="8" t="s">
        <v>573</v>
      </c>
      <c r="H51" s="8" t="s">
        <v>226</v>
      </c>
      <c r="I51" s="8" t="s">
        <v>574</v>
      </c>
      <c r="J51" s="8" t="s">
        <v>575</v>
      </c>
      <c r="K51" s="8" t="s">
        <v>576</v>
      </c>
      <c r="L51" s="8" t="s">
        <v>15</v>
      </c>
      <c r="M51" s="8" t="s">
        <v>25</v>
      </c>
      <c r="N51" s="8" t="n">
        <f aca="false">IF(OR($L51="",$M51="",$O51=""),"",IF($L51="S1",8,IF($L51="S2",4,IF($L51="S3",2,1)))*IF($M51="High",3,IF($M51="Medium",2,1))/IF($O51="S",1,IF($O51="M",2,3)))</f>
        <v>6</v>
      </c>
      <c r="O51" s="8" t="s">
        <v>35</v>
      </c>
      <c r="P51" s="8" t="s">
        <v>577</v>
      </c>
      <c r="Q51" s="8" t="s">
        <v>578</v>
      </c>
      <c r="R51" s="8" t="s">
        <v>579</v>
      </c>
      <c r="S51" s="8"/>
      <c r="T51" s="8"/>
    </row>
    <row r="52" customFormat="false" ht="15" hidden="false" customHeight="true" outlineLevel="0" collapsed="false">
      <c r="A52" s="8" t="s">
        <v>580</v>
      </c>
      <c r="B52" s="8" t="s">
        <v>99</v>
      </c>
      <c r="C52" s="8" t="s">
        <v>302</v>
      </c>
      <c r="D52" s="8" t="s">
        <v>46</v>
      </c>
      <c r="E52" s="8" t="s">
        <v>562</v>
      </c>
      <c r="F52" s="8" t="s">
        <v>581</v>
      </c>
      <c r="G52" s="8" t="s">
        <v>582</v>
      </c>
      <c r="H52" s="8" t="s">
        <v>226</v>
      </c>
      <c r="I52" s="8" t="s">
        <v>583</v>
      </c>
      <c r="J52" s="8" t="s">
        <v>584</v>
      </c>
      <c r="K52" s="8" t="s">
        <v>585</v>
      </c>
      <c r="L52" s="8" t="s">
        <v>18</v>
      </c>
      <c r="M52" s="8" t="s">
        <v>28</v>
      </c>
      <c r="N52" s="8" t="n">
        <f aca="false">IF(OR($L52="",$M52="",$O52=""),"",IF($L52="S1",8,IF($L52="S2",4,IF($L52="S3",2,1)))*IF($M52="High",3,IF($M52="Medium",2,1))/IF($O52="S",1,IF($O52="M",2,3)))</f>
        <v>4</v>
      </c>
      <c r="O52" s="8" t="s">
        <v>33</v>
      </c>
      <c r="P52" s="8" t="s">
        <v>586</v>
      </c>
      <c r="Q52" s="8" t="s">
        <v>587</v>
      </c>
      <c r="R52" s="8" t="s">
        <v>588</v>
      </c>
      <c r="S52" s="8"/>
      <c r="T52" s="8"/>
    </row>
    <row r="53" customFormat="false" ht="15" hidden="false" customHeight="true" outlineLevel="0" collapsed="false">
      <c r="A53" s="8" t="s">
        <v>589</v>
      </c>
      <c r="B53" s="8" t="s">
        <v>99</v>
      </c>
      <c r="C53" s="8" t="s">
        <v>302</v>
      </c>
      <c r="D53" s="8" t="s">
        <v>46</v>
      </c>
      <c r="E53" s="8" t="s">
        <v>562</v>
      </c>
      <c r="F53" s="8" t="s">
        <v>590</v>
      </c>
      <c r="G53" s="8" t="s">
        <v>591</v>
      </c>
      <c r="H53" s="8" t="s">
        <v>136</v>
      </c>
      <c r="I53" s="8" t="s">
        <v>592</v>
      </c>
      <c r="J53" s="8" t="s">
        <v>593</v>
      </c>
      <c r="K53" s="8" t="s">
        <v>594</v>
      </c>
      <c r="L53" s="8" t="s">
        <v>18</v>
      </c>
      <c r="M53" s="8" t="s">
        <v>30</v>
      </c>
      <c r="N53" s="8" t="n">
        <f aca="false">IF(OR($L53="",$M53="",$O53=""),"",IF($L53="S1",8,IF($L53="S2",4,IF($L53="S3",2,1)))*IF($M53="High",3,IF($M53="Medium",2,1))/IF($O53="S",1,IF($O53="M",2,3)))</f>
        <v>2</v>
      </c>
      <c r="O53" s="8" t="s">
        <v>33</v>
      </c>
      <c r="P53" s="8" t="s">
        <v>595</v>
      </c>
      <c r="Q53" s="8" t="s">
        <v>590</v>
      </c>
      <c r="R53" s="8" t="s">
        <v>596</v>
      </c>
      <c r="S53" s="8"/>
      <c r="T53" s="8"/>
    </row>
    <row r="54" customFormat="false" ht="15" hidden="false" customHeight="true" outlineLevel="0" collapsed="false">
      <c r="A54" s="8" t="s">
        <v>597</v>
      </c>
      <c r="B54" s="8" t="s">
        <v>99</v>
      </c>
      <c r="C54" s="8" t="s">
        <v>302</v>
      </c>
      <c r="D54" s="8" t="s">
        <v>46</v>
      </c>
      <c r="E54" s="8" t="s">
        <v>562</v>
      </c>
      <c r="F54" s="8" t="s">
        <v>598</v>
      </c>
      <c r="G54" s="8" t="s">
        <v>599</v>
      </c>
      <c r="H54" s="8" t="s">
        <v>226</v>
      </c>
      <c r="I54" s="8" t="s">
        <v>600</v>
      </c>
      <c r="J54" s="8" t="s">
        <v>601</v>
      </c>
      <c r="K54" s="8" t="s">
        <v>602</v>
      </c>
      <c r="L54" s="8" t="s">
        <v>21</v>
      </c>
      <c r="M54" s="8" t="s">
        <v>28</v>
      </c>
      <c r="N54" s="8" t="n">
        <f aca="false">IF(OR($L54="",$M54="",$O54=""),"",IF($L54="S1",8,IF($L54="S2",4,IF($L54="S3",2,1)))*IF($M54="High",3,IF($M54="Medium",2,1))/IF($O54="S",1,IF($O54="M",2,3)))</f>
        <v>2</v>
      </c>
      <c r="O54" s="8" t="s">
        <v>33</v>
      </c>
      <c r="P54" s="8" t="s">
        <v>603</v>
      </c>
      <c r="Q54" s="8" t="s">
        <v>604</v>
      </c>
      <c r="R54" s="8" t="s">
        <v>605</v>
      </c>
      <c r="S54" s="8"/>
      <c r="T54" s="8"/>
    </row>
    <row r="55" customFormat="false" ht="15" hidden="false" customHeight="true" outlineLevel="0" collapsed="false">
      <c r="A55" s="8" t="s">
        <v>606</v>
      </c>
      <c r="B55" s="8" t="s">
        <v>99</v>
      </c>
      <c r="C55" s="8" t="s">
        <v>302</v>
      </c>
      <c r="D55" s="8" t="s">
        <v>46</v>
      </c>
      <c r="E55" s="8" t="s">
        <v>562</v>
      </c>
      <c r="F55" s="8" t="s">
        <v>607</v>
      </c>
      <c r="G55" s="8" t="s">
        <v>608</v>
      </c>
      <c r="H55" s="8" t="s">
        <v>226</v>
      </c>
      <c r="I55" s="8" t="s">
        <v>609</v>
      </c>
      <c r="J55" s="8" t="s">
        <v>610</v>
      </c>
      <c r="K55" s="8" t="s">
        <v>611</v>
      </c>
      <c r="L55" s="8" t="s">
        <v>21</v>
      </c>
      <c r="M55" s="8" t="s">
        <v>30</v>
      </c>
      <c r="N55" s="8" t="n">
        <f aca="false">IF(OR($L55="",$M55="",$O55=""),"",IF($L55="S1",8,IF($L55="S2",4,IF($L55="S3",2,1)))*IF($M55="High",3,IF($M55="Medium",2,1))/IF($O55="S",1,IF($O55="M",2,3)))</f>
        <v>1</v>
      </c>
      <c r="O55" s="8" t="s">
        <v>33</v>
      </c>
      <c r="P55" s="8" t="s">
        <v>612</v>
      </c>
      <c r="Q55" s="8" t="s">
        <v>613</v>
      </c>
      <c r="R55" s="8" t="s">
        <v>614</v>
      </c>
      <c r="S55" s="8"/>
      <c r="T55" s="8"/>
    </row>
    <row r="56" customFormat="false" ht="15" hidden="false" customHeight="true" outlineLevel="0" collapsed="false">
      <c r="A56" s="8" t="s">
        <v>615</v>
      </c>
      <c r="B56" s="8" t="s">
        <v>99</v>
      </c>
      <c r="C56" s="8" t="s">
        <v>302</v>
      </c>
      <c r="D56" s="8" t="s">
        <v>46</v>
      </c>
      <c r="E56" s="8" t="s">
        <v>562</v>
      </c>
      <c r="F56" s="8" t="s">
        <v>616</v>
      </c>
      <c r="G56" s="8" t="s">
        <v>617</v>
      </c>
      <c r="H56" s="8" t="s">
        <v>146</v>
      </c>
      <c r="I56" s="8" t="s">
        <v>618</v>
      </c>
      <c r="J56" s="8" t="s">
        <v>619</v>
      </c>
      <c r="K56" s="8" t="s">
        <v>620</v>
      </c>
      <c r="L56" s="8" t="s">
        <v>21</v>
      </c>
      <c r="M56" s="8" t="s">
        <v>30</v>
      </c>
      <c r="N56" s="8" t="n">
        <f aca="false">IF(OR($L56="",$M56="",$O56=""),"",IF($L56="S1",8,IF($L56="S2",4,IF($L56="S3",2,1)))*IF($M56="High",3,IF($M56="Medium",2,1))/IF($O56="S",1,IF($O56="M",2,3)))</f>
        <v>0.5</v>
      </c>
      <c r="O56" s="8" t="s">
        <v>35</v>
      </c>
      <c r="P56" s="8" t="s">
        <v>621</v>
      </c>
      <c r="Q56" s="8" t="s">
        <v>622</v>
      </c>
      <c r="R56" s="8" t="s">
        <v>623</v>
      </c>
      <c r="S56" s="8"/>
      <c r="T56" s="8"/>
    </row>
    <row r="57" customFormat="false" ht="15" hidden="false" customHeight="true" outlineLevel="0" collapsed="false">
      <c r="A57" s="8" t="s">
        <v>624</v>
      </c>
      <c r="B57" s="8" t="s">
        <v>75</v>
      </c>
      <c r="C57" s="8" t="s">
        <v>302</v>
      </c>
      <c r="D57" s="8" t="s">
        <v>46</v>
      </c>
      <c r="E57" s="8" t="s">
        <v>419</v>
      </c>
      <c r="F57" s="8" t="s">
        <v>625</v>
      </c>
      <c r="G57" s="8" t="s">
        <v>626</v>
      </c>
      <c r="H57" s="8" t="s">
        <v>146</v>
      </c>
      <c r="I57" s="8" t="s">
        <v>627</v>
      </c>
      <c r="J57" s="8" t="s">
        <v>628</v>
      </c>
      <c r="K57" s="8" t="s">
        <v>629</v>
      </c>
      <c r="L57" s="8" t="s">
        <v>21</v>
      </c>
      <c r="M57" s="8" t="s">
        <v>28</v>
      </c>
      <c r="N57" s="8" t="n">
        <f aca="false">IF(OR($L57="",$M57="",$O57=""),"",IF($L57="S1",8,IF($L57="S2",4,IF($L57="S3",2,1)))*IF($M57="High",3,IF($M57="Medium",2,1))/IF($O57="S",1,IF($O57="M",2,3)))</f>
        <v>2</v>
      </c>
      <c r="O57" s="8" t="s">
        <v>33</v>
      </c>
      <c r="P57" s="8" t="s">
        <v>630</v>
      </c>
      <c r="Q57" s="8" t="s">
        <v>625</v>
      </c>
      <c r="R57" s="8" t="s">
        <v>631</v>
      </c>
      <c r="S57" s="8"/>
      <c r="T57" s="8"/>
    </row>
    <row r="58" customFormat="false" ht="15" hidden="false" customHeight="true" outlineLevel="0" collapsed="false">
      <c r="A58" s="8" t="s">
        <v>632</v>
      </c>
      <c r="B58" s="8" t="s">
        <v>95</v>
      </c>
      <c r="C58" s="8" t="s">
        <v>302</v>
      </c>
      <c r="D58" s="8" t="s">
        <v>46</v>
      </c>
      <c r="E58" s="8" t="s">
        <v>391</v>
      </c>
      <c r="F58" s="8" t="s">
        <v>272</v>
      </c>
      <c r="G58" s="8" t="s">
        <v>633</v>
      </c>
      <c r="H58" s="8" t="s">
        <v>127</v>
      </c>
      <c r="I58" s="8" t="s">
        <v>634</v>
      </c>
      <c r="J58" s="8" t="s">
        <v>635</v>
      </c>
      <c r="K58" s="8" t="s">
        <v>636</v>
      </c>
      <c r="L58" s="8" t="s">
        <v>18</v>
      </c>
      <c r="M58" s="8" t="s">
        <v>28</v>
      </c>
      <c r="N58" s="8" t="n">
        <f aca="false">IF(OR($L58="",$M58="",$O58=""),"",IF($L58="S1",8,IF($L58="S2",4,IF($L58="S3",2,1)))*IF($M58="High",3,IF($M58="Medium",2,1))/IF($O58="S",1,IF($O58="M",2,3)))</f>
        <v>2</v>
      </c>
      <c r="O58" s="8" t="s">
        <v>35</v>
      </c>
      <c r="P58" s="8" t="s">
        <v>637</v>
      </c>
      <c r="Q58" s="8" t="s">
        <v>638</v>
      </c>
      <c r="R58" s="8" t="s">
        <v>639</v>
      </c>
      <c r="S58" s="8"/>
      <c r="T58" s="8"/>
    </row>
    <row r="59" customFormat="false" ht="15" hidden="false" customHeight="true" outlineLevel="0" collapsed="false">
      <c r="A59" s="8" t="s">
        <v>640</v>
      </c>
      <c r="B59" s="8" t="s">
        <v>95</v>
      </c>
      <c r="C59" s="8" t="s">
        <v>302</v>
      </c>
      <c r="D59" s="8" t="s">
        <v>46</v>
      </c>
      <c r="E59" s="8" t="s">
        <v>391</v>
      </c>
      <c r="F59" s="8" t="s">
        <v>641</v>
      </c>
      <c r="G59" s="8" t="s">
        <v>642</v>
      </c>
      <c r="H59" s="8" t="s">
        <v>127</v>
      </c>
      <c r="I59" s="8" t="s">
        <v>643</v>
      </c>
      <c r="J59" s="8" t="s">
        <v>644</v>
      </c>
      <c r="K59" s="8" t="s">
        <v>645</v>
      </c>
      <c r="L59" s="8" t="s">
        <v>18</v>
      </c>
      <c r="M59" s="8" t="s">
        <v>28</v>
      </c>
      <c r="N59" s="8" t="n">
        <f aca="false">IF(OR($L59="",$M59="",$O59=""),"",IF($L59="S1",8,IF($L59="S2",4,IF($L59="S3",2,1)))*IF($M59="High",3,IF($M59="Medium",2,1))/IF($O59="S",1,IF($O59="M",2,3)))</f>
        <v>2</v>
      </c>
      <c r="O59" s="8" t="s">
        <v>35</v>
      </c>
      <c r="P59" s="8" t="s">
        <v>646</v>
      </c>
      <c r="Q59" s="8" t="s">
        <v>647</v>
      </c>
      <c r="R59" s="8" t="s">
        <v>648</v>
      </c>
      <c r="S59" s="8"/>
      <c r="T59" s="8"/>
    </row>
    <row r="60" customFormat="false" ht="15" hidden="false" customHeight="true" outlineLevel="0" collapsed="false">
      <c r="A60" s="8" t="s">
        <v>649</v>
      </c>
      <c r="B60" s="8" t="s">
        <v>95</v>
      </c>
      <c r="C60" s="8" t="s">
        <v>302</v>
      </c>
      <c r="D60" s="8" t="s">
        <v>46</v>
      </c>
      <c r="E60" s="8" t="s">
        <v>391</v>
      </c>
      <c r="F60" s="8" t="s">
        <v>650</v>
      </c>
      <c r="G60" s="8" t="s">
        <v>651</v>
      </c>
      <c r="H60" s="8" t="s">
        <v>127</v>
      </c>
      <c r="I60" s="8" t="s">
        <v>652</v>
      </c>
      <c r="J60" s="8" t="s">
        <v>653</v>
      </c>
      <c r="K60" s="8" t="s">
        <v>654</v>
      </c>
      <c r="L60" s="8" t="s">
        <v>15</v>
      </c>
      <c r="M60" s="8" t="s">
        <v>30</v>
      </c>
      <c r="N60" s="8" t="n">
        <f aca="false">IF(OR($L60="",$M60="",$O60=""),"",IF($L60="S1",8,IF($L60="S2",4,IF($L60="S3",2,1)))*IF($M60="High",3,IF($M60="Medium",2,1))/IF($O60="S",1,IF($O60="M",2,3)))</f>
        <v>2</v>
      </c>
      <c r="O60" s="8" t="s">
        <v>35</v>
      </c>
      <c r="P60" s="8" t="s">
        <v>655</v>
      </c>
      <c r="Q60" s="8" t="s">
        <v>650</v>
      </c>
      <c r="R60" s="8" t="s">
        <v>656</v>
      </c>
      <c r="S60" s="8"/>
      <c r="T60" s="8"/>
    </row>
    <row r="61" customFormat="false" ht="15" hidden="false" customHeight="true" outlineLevel="0" collapsed="false">
      <c r="A61" s="8" t="s">
        <v>657</v>
      </c>
      <c r="B61" s="8" t="s">
        <v>95</v>
      </c>
      <c r="C61" s="8" t="s">
        <v>302</v>
      </c>
      <c r="D61" s="8" t="s">
        <v>46</v>
      </c>
      <c r="E61" s="8" t="s">
        <v>391</v>
      </c>
      <c r="F61" s="8" t="s">
        <v>392</v>
      </c>
      <c r="G61" s="8" t="s">
        <v>658</v>
      </c>
      <c r="H61" s="8" t="s">
        <v>226</v>
      </c>
      <c r="I61" s="8" t="s">
        <v>659</v>
      </c>
      <c r="J61" s="8" t="s">
        <v>660</v>
      </c>
      <c r="K61" s="8" t="s">
        <v>661</v>
      </c>
      <c r="L61" s="8" t="s">
        <v>18</v>
      </c>
      <c r="M61" s="8" t="s">
        <v>28</v>
      </c>
      <c r="N61" s="8" t="n">
        <f aca="false">IF(OR($L61="",$M61="",$O61=""),"",IF($L61="S1",8,IF($L61="S2",4,IF($L61="S3",2,1)))*IF($M61="High",3,IF($M61="Medium",2,1))/IF($O61="S",1,IF($O61="M",2,3)))</f>
        <v>4</v>
      </c>
      <c r="O61" s="8" t="s">
        <v>33</v>
      </c>
      <c r="P61" s="8" t="s">
        <v>662</v>
      </c>
      <c r="Q61" s="8" t="s">
        <v>663</v>
      </c>
      <c r="R61" s="8" t="s">
        <v>664</v>
      </c>
      <c r="S61" s="8"/>
      <c r="T61" s="8"/>
    </row>
    <row r="62" customFormat="false" ht="15" hidden="false" customHeight="true" outlineLevel="0" collapsed="false">
      <c r="A62" s="8" t="s">
        <v>665</v>
      </c>
      <c r="B62" s="8" t="s">
        <v>95</v>
      </c>
      <c r="C62" s="8" t="s">
        <v>302</v>
      </c>
      <c r="D62" s="8" t="s">
        <v>46</v>
      </c>
      <c r="E62" s="8" t="s">
        <v>391</v>
      </c>
      <c r="F62" s="8" t="s">
        <v>392</v>
      </c>
      <c r="G62" s="8" t="s">
        <v>666</v>
      </c>
      <c r="H62" s="8" t="s">
        <v>127</v>
      </c>
      <c r="I62" s="8" t="s">
        <v>667</v>
      </c>
      <c r="J62" s="8" t="s">
        <v>668</v>
      </c>
      <c r="K62" s="8" t="s">
        <v>669</v>
      </c>
      <c r="L62" s="8" t="s">
        <v>18</v>
      </c>
      <c r="M62" s="8" t="s">
        <v>30</v>
      </c>
      <c r="N62" s="8" t="n">
        <f aca="false">IF(OR($L62="",$M62="",$O62=""),"",IF($L62="S1",8,IF($L62="S2",4,IF($L62="S3",2,1)))*IF($M62="High",3,IF($M62="Medium",2,1))/IF($O62="S",1,IF($O62="M",2,3)))</f>
        <v>2</v>
      </c>
      <c r="O62" s="8" t="s">
        <v>33</v>
      </c>
      <c r="P62" s="8" t="s">
        <v>670</v>
      </c>
      <c r="Q62" s="8" t="s">
        <v>671</v>
      </c>
      <c r="R62" s="8" t="s">
        <v>672</v>
      </c>
      <c r="S62" s="8"/>
      <c r="T62" s="8"/>
    </row>
    <row r="63" customFormat="false" ht="15" hidden="false" customHeight="true" outlineLevel="0" collapsed="false">
      <c r="A63" s="8" t="s">
        <v>673</v>
      </c>
      <c r="B63" s="8" t="s">
        <v>95</v>
      </c>
      <c r="C63" s="8" t="s">
        <v>302</v>
      </c>
      <c r="D63" s="8" t="s">
        <v>46</v>
      </c>
      <c r="E63" s="8" t="s">
        <v>391</v>
      </c>
      <c r="F63" s="8" t="s">
        <v>674</v>
      </c>
      <c r="G63" s="8" t="s">
        <v>675</v>
      </c>
      <c r="H63" s="8" t="s">
        <v>157</v>
      </c>
      <c r="I63" s="8" t="s">
        <v>676</v>
      </c>
      <c r="J63" s="8" t="s">
        <v>677</v>
      </c>
      <c r="K63" s="8" t="s">
        <v>678</v>
      </c>
      <c r="L63" s="8" t="s">
        <v>18</v>
      </c>
      <c r="M63" s="8" t="s">
        <v>25</v>
      </c>
      <c r="N63" s="8" t="n">
        <f aca="false">IF(OR($L63="",$M63="",$O63=""),"",IF($L63="S1",8,IF($L63="S2",4,IF($L63="S3",2,1)))*IF($M63="High",3,IF($M63="Medium",2,1))/IF($O63="S",1,IF($O63="M",2,3)))</f>
        <v>6</v>
      </c>
      <c r="O63" s="8" t="s">
        <v>33</v>
      </c>
      <c r="P63" s="8" t="s">
        <v>679</v>
      </c>
      <c r="Q63" s="8" t="s">
        <v>674</v>
      </c>
      <c r="R63" s="8" t="s">
        <v>680</v>
      </c>
      <c r="S63" s="8"/>
      <c r="T63" s="8"/>
    </row>
    <row r="64" customFormat="false" ht="15" hidden="false" customHeight="true" outlineLevel="0" collapsed="false">
      <c r="A64" s="8" t="s">
        <v>681</v>
      </c>
      <c r="B64" s="8" t="s">
        <v>95</v>
      </c>
      <c r="C64" s="8" t="s">
        <v>302</v>
      </c>
      <c r="D64" s="8" t="s">
        <v>46</v>
      </c>
      <c r="E64" s="8" t="s">
        <v>391</v>
      </c>
      <c r="F64" s="8" t="s">
        <v>641</v>
      </c>
      <c r="G64" s="8" t="s">
        <v>682</v>
      </c>
      <c r="H64" s="8" t="s">
        <v>157</v>
      </c>
      <c r="I64" s="8" t="s">
        <v>683</v>
      </c>
      <c r="J64" s="8" t="s">
        <v>684</v>
      </c>
      <c r="K64" s="8" t="s">
        <v>685</v>
      </c>
      <c r="L64" s="8" t="s">
        <v>18</v>
      </c>
      <c r="M64" s="8" t="s">
        <v>28</v>
      </c>
      <c r="N64" s="8" t="n">
        <f aca="false">IF(OR($L64="",$M64="",$O64=""),"",IF($L64="S1",8,IF($L64="S2",4,IF($L64="S3",2,1)))*IF($M64="High",3,IF($M64="Medium",2,1))/IF($O64="S",1,IF($O64="M",2,3)))</f>
        <v>4</v>
      </c>
      <c r="O64" s="8" t="s">
        <v>33</v>
      </c>
      <c r="P64" s="8" t="s">
        <v>686</v>
      </c>
      <c r="Q64" s="8" t="s">
        <v>641</v>
      </c>
      <c r="R64" s="8" t="s">
        <v>687</v>
      </c>
      <c r="S64" s="8"/>
      <c r="T64" s="8"/>
    </row>
    <row r="65" customFormat="false" ht="15" hidden="false" customHeight="true" outlineLevel="0" collapsed="false">
      <c r="A65" s="8" t="s">
        <v>688</v>
      </c>
      <c r="B65" s="8" t="s">
        <v>95</v>
      </c>
      <c r="C65" s="8" t="s">
        <v>302</v>
      </c>
      <c r="D65" s="8" t="s">
        <v>46</v>
      </c>
      <c r="E65" s="8" t="s">
        <v>391</v>
      </c>
      <c r="F65" s="8" t="s">
        <v>689</v>
      </c>
      <c r="G65" s="8" t="s">
        <v>690</v>
      </c>
      <c r="H65" s="8" t="s">
        <v>157</v>
      </c>
      <c r="I65" s="8" t="s">
        <v>691</v>
      </c>
      <c r="J65" s="8" t="s">
        <v>692</v>
      </c>
      <c r="K65" s="8" t="s">
        <v>693</v>
      </c>
      <c r="L65" s="8" t="s">
        <v>18</v>
      </c>
      <c r="M65" s="8" t="s">
        <v>28</v>
      </c>
      <c r="N65" s="8" t="n">
        <f aca="false">IF(OR($L65="",$M65="",$O65=""),"",IF($L65="S1",8,IF($L65="S2",4,IF($L65="S3",2,1)))*IF($M65="High",3,IF($M65="Medium",2,1))/IF($O65="S",1,IF($O65="M",2,3)))</f>
        <v>2</v>
      </c>
      <c r="O65" s="8" t="s">
        <v>35</v>
      </c>
      <c r="P65" s="8" t="s">
        <v>694</v>
      </c>
      <c r="Q65" s="8" t="s">
        <v>689</v>
      </c>
      <c r="R65" s="8" t="s">
        <v>695</v>
      </c>
      <c r="S65" s="8"/>
      <c r="T65" s="8"/>
    </row>
    <row r="66" customFormat="false" ht="15" hidden="false" customHeight="true" outlineLevel="0" collapsed="false">
      <c r="A66" s="8" t="s">
        <v>696</v>
      </c>
      <c r="B66" s="8" t="s">
        <v>95</v>
      </c>
      <c r="C66" s="8" t="s">
        <v>302</v>
      </c>
      <c r="D66" s="8" t="s">
        <v>46</v>
      </c>
      <c r="E66" s="8" t="s">
        <v>391</v>
      </c>
      <c r="F66" s="8" t="s">
        <v>697</v>
      </c>
      <c r="G66" s="8" t="s">
        <v>698</v>
      </c>
      <c r="H66" s="8" t="s">
        <v>157</v>
      </c>
      <c r="I66" s="8" t="s">
        <v>699</v>
      </c>
      <c r="J66" s="8" t="s">
        <v>700</v>
      </c>
      <c r="K66" s="8" t="s">
        <v>701</v>
      </c>
      <c r="L66" s="8" t="s">
        <v>18</v>
      </c>
      <c r="M66" s="8" t="s">
        <v>25</v>
      </c>
      <c r="N66" s="8" t="n">
        <f aca="false">IF(OR($L66="",$M66="",$O66=""),"",IF($L66="S1",8,IF($L66="S2",4,IF($L66="S3",2,1)))*IF($M66="High",3,IF($M66="Medium",2,1))/IF($O66="S",1,IF($O66="M",2,3)))</f>
        <v>6</v>
      </c>
      <c r="O66" s="8" t="s">
        <v>33</v>
      </c>
      <c r="P66" s="8" t="s">
        <v>702</v>
      </c>
      <c r="Q66" s="8" t="s">
        <v>703</v>
      </c>
      <c r="R66" s="8" t="s">
        <v>704</v>
      </c>
      <c r="S66" s="8"/>
      <c r="T66" s="8"/>
    </row>
    <row r="67" customFormat="false" ht="15" hidden="false" customHeight="true" outlineLevel="0" collapsed="false">
      <c r="A67" s="8" t="s">
        <v>705</v>
      </c>
      <c r="B67" s="8" t="s">
        <v>95</v>
      </c>
      <c r="C67" s="8" t="s">
        <v>302</v>
      </c>
      <c r="D67" s="8" t="s">
        <v>46</v>
      </c>
      <c r="E67" s="8" t="s">
        <v>391</v>
      </c>
      <c r="F67" s="8" t="s">
        <v>272</v>
      </c>
      <c r="G67" s="8" t="s">
        <v>706</v>
      </c>
      <c r="H67" s="8" t="s">
        <v>146</v>
      </c>
      <c r="I67" s="8" t="s">
        <v>707</v>
      </c>
      <c r="J67" s="8" t="s">
        <v>708</v>
      </c>
      <c r="K67" s="8" t="s">
        <v>709</v>
      </c>
      <c r="L67" s="8" t="s">
        <v>21</v>
      </c>
      <c r="M67" s="8" t="s">
        <v>30</v>
      </c>
      <c r="N67" s="8" t="n">
        <f aca="false">IF(OR($L67="",$M67="",$O67=""),"",IF($L67="S1",8,IF($L67="S2",4,IF($L67="S3",2,1)))*IF($M67="High",3,IF($M67="Medium",2,1))/IF($O67="S",1,IF($O67="M",2,3)))</f>
        <v>1</v>
      </c>
      <c r="O67" s="8" t="s">
        <v>33</v>
      </c>
      <c r="P67" s="8" t="s">
        <v>710</v>
      </c>
      <c r="Q67" s="8" t="s">
        <v>711</v>
      </c>
      <c r="R67" s="8" t="s">
        <v>712</v>
      </c>
      <c r="S67" s="8"/>
      <c r="T67" s="8"/>
    </row>
    <row r="68" customFormat="false" ht="15" hidden="false" customHeight="true" outlineLevel="0" collapsed="false">
      <c r="A68" s="8" t="s">
        <v>713</v>
      </c>
      <c r="B68" s="8" t="s">
        <v>64</v>
      </c>
      <c r="C68" s="8" t="s">
        <v>302</v>
      </c>
      <c r="D68" s="8" t="s">
        <v>46</v>
      </c>
      <c r="E68" s="8" t="s">
        <v>436</v>
      </c>
      <c r="F68" s="8" t="s">
        <v>714</v>
      </c>
      <c r="G68" s="8" t="s">
        <v>715</v>
      </c>
      <c r="H68" s="8" t="s">
        <v>306</v>
      </c>
      <c r="I68" s="8" t="s">
        <v>716</v>
      </c>
      <c r="J68" s="8" t="s">
        <v>717</v>
      </c>
      <c r="K68" s="8" t="s">
        <v>718</v>
      </c>
      <c r="L68" s="8" t="s">
        <v>18</v>
      </c>
      <c r="M68" s="8" t="s">
        <v>28</v>
      </c>
      <c r="N68" s="8" t="n">
        <f aca="false">IF(OR($L68="",$M68="",$O68=""),"",IF($L68="S1",8,IF($L68="S2",4,IF($L68="S3",2,1)))*IF($M68="High",3,IF($M68="Medium",2,1))/IF($O68="S",1,IF($O68="M",2,3)))</f>
        <v>4</v>
      </c>
      <c r="O68" s="8" t="s">
        <v>33</v>
      </c>
      <c r="P68" s="8" t="s">
        <v>719</v>
      </c>
      <c r="Q68" s="8" t="s">
        <v>714</v>
      </c>
      <c r="R68" s="8" t="s">
        <v>720</v>
      </c>
      <c r="S68" s="8"/>
      <c r="T68" s="8"/>
    </row>
    <row r="69" customFormat="false" ht="15" hidden="false" customHeight="true" outlineLevel="0" collapsed="false">
      <c r="A69" s="8" t="s">
        <v>721</v>
      </c>
      <c r="B69" s="8" t="s">
        <v>64</v>
      </c>
      <c r="C69" s="8" t="s">
        <v>302</v>
      </c>
      <c r="D69" s="8" t="s">
        <v>46</v>
      </c>
      <c r="E69" s="8" t="s">
        <v>436</v>
      </c>
      <c r="F69" s="8" t="s">
        <v>722</v>
      </c>
      <c r="G69" s="8" t="s">
        <v>723</v>
      </c>
      <c r="H69" s="8" t="s">
        <v>284</v>
      </c>
      <c r="I69" s="8" t="s">
        <v>724</v>
      </c>
      <c r="J69" s="8" t="s">
        <v>725</v>
      </c>
      <c r="K69" s="8" t="s">
        <v>726</v>
      </c>
      <c r="L69" s="8" t="s">
        <v>21</v>
      </c>
      <c r="M69" s="8" t="s">
        <v>28</v>
      </c>
      <c r="N69" s="8" t="n">
        <f aca="false">IF(OR($L69="",$M69="",$O69=""),"",IF($L69="S1",8,IF($L69="S2",4,IF($L69="S3",2,1)))*IF($M69="High",3,IF($M69="Medium",2,1))/IF($O69="S",1,IF($O69="M",2,3)))</f>
        <v>2</v>
      </c>
      <c r="O69" s="8" t="s">
        <v>33</v>
      </c>
      <c r="P69" s="8" t="s">
        <v>727</v>
      </c>
      <c r="Q69" s="8" t="s">
        <v>722</v>
      </c>
      <c r="R69" s="8" t="s">
        <v>728</v>
      </c>
      <c r="S69" s="8"/>
      <c r="T69" s="8"/>
    </row>
    <row r="70" customFormat="false" ht="15" hidden="false" customHeight="true" outlineLevel="0" collapsed="false">
      <c r="A70" s="8" t="s">
        <v>729</v>
      </c>
      <c r="B70" s="8" t="s">
        <v>64</v>
      </c>
      <c r="C70" s="8" t="s">
        <v>302</v>
      </c>
      <c r="D70" s="8" t="s">
        <v>46</v>
      </c>
      <c r="E70" s="8" t="s">
        <v>436</v>
      </c>
      <c r="F70" s="8" t="s">
        <v>446</v>
      </c>
      <c r="G70" s="8" t="s">
        <v>730</v>
      </c>
      <c r="H70" s="8" t="s">
        <v>457</v>
      </c>
      <c r="I70" s="8" t="s">
        <v>731</v>
      </c>
      <c r="J70" s="8" t="s">
        <v>732</v>
      </c>
      <c r="K70" s="8" t="s">
        <v>733</v>
      </c>
      <c r="L70" s="8" t="s">
        <v>21</v>
      </c>
      <c r="M70" s="8" t="s">
        <v>30</v>
      </c>
      <c r="N70" s="8" t="n">
        <f aca="false">IF(OR($L70="",$M70="",$O70=""),"",IF($L70="S1",8,IF($L70="S2",4,IF($L70="S3",2,1)))*IF($M70="High",3,IF($M70="Medium",2,1))/IF($O70="S",1,IF($O70="M",2,3)))</f>
        <v>1</v>
      </c>
      <c r="O70" s="8" t="s">
        <v>33</v>
      </c>
      <c r="P70" s="8" t="s">
        <v>734</v>
      </c>
      <c r="Q70" s="8" t="s">
        <v>446</v>
      </c>
      <c r="R70" s="8" t="s">
        <v>735</v>
      </c>
      <c r="S70" s="8"/>
      <c r="T70" s="8"/>
    </row>
    <row r="71" customFormat="false" ht="15" hidden="false" customHeight="true" outlineLevel="0" collapsed="false">
      <c r="A71" s="8" t="s">
        <v>736</v>
      </c>
      <c r="B71" s="8" t="s">
        <v>64</v>
      </c>
      <c r="C71" s="8" t="s">
        <v>302</v>
      </c>
      <c r="D71" s="8" t="s">
        <v>46</v>
      </c>
      <c r="E71" s="8" t="s">
        <v>436</v>
      </c>
      <c r="F71" s="8" t="s">
        <v>737</v>
      </c>
      <c r="G71" s="8" t="s">
        <v>738</v>
      </c>
      <c r="H71" s="8" t="s">
        <v>136</v>
      </c>
      <c r="I71" s="8" t="s">
        <v>739</v>
      </c>
      <c r="J71" s="8" t="s">
        <v>740</v>
      </c>
      <c r="K71" s="8" t="s">
        <v>741</v>
      </c>
      <c r="L71" s="8" t="s">
        <v>21</v>
      </c>
      <c r="M71" s="8" t="s">
        <v>30</v>
      </c>
      <c r="N71" s="8" t="n">
        <f aca="false">IF(OR($L71="",$M71="",$O71=""),"",IF($L71="S1",8,IF($L71="S2",4,IF($L71="S3",2,1)))*IF($M71="High",3,IF($M71="Medium",2,1))/IF($O71="S",1,IF($O71="M",2,3)))</f>
        <v>1</v>
      </c>
      <c r="O71" s="8" t="s">
        <v>33</v>
      </c>
      <c r="P71" s="8" t="s">
        <v>742</v>
      </c>
      <c r="Q71" s="8" t="s">
        <v>737</v>
      </c>
      <c r="R71" s="8" t="s">
        <v>743</v>
      </c>
      <c r="S71" s="8"/>
      <c r="T71" s="8"/>
    </row>
    <row r="72" customFormat="false" ht="15" hidden="false" customHeight="true" outlineLevel="0" collapsed="false">
      <c r="A72" s="8" t="s">
        <v>744</v>
      </c>
      <c r="B72" s="8" t="s">
        <v>67</v>
      </c>
      <c r="C72" s="8" t="s">
        <v>302</v>
      </c>
      <c r="D72" s="8" t="s">
        <v>46</v>
      </c>
      <c r="E72" s="8" t="s">
        <v>134</v>
      </c>
      <c r="F72" s="8" t="s">
        <v>410</v>
      </c>
      <c r="G72" s="8" t="s">
        <v>745</v>
      </c>
      <c r="H72" s="8" t="s">
        <v>157</v>
      </c>
      <c r="I72" s="8" t="s">
        <v>746</v>
      </c>
      <c r="J72" s="8" t="s">
        <v>747</v>
      </c>
      <c r="K72" s="8" t="s">
        <v>748</v>
      </c>
      <c r="L72" s="8" t="s">
        <v>18</v>
      </c>
      <c r="M72" s="8" t="s">
        <v>28</v>
      </c>
      <c r="N72" s="8" t="n">
        <f aca="false">IF(OR($L72="",$M72="",$O72=""),"",IF($L72="S1",8,IF($L72="S2",4,IF($L72="S3",2,1)))*IF($M72="High",3,IF($M72="Medium",2,1))/IF($O72="S",1,IF($O72="M",2,3)))</f>
        <v>4</v>
      </c>
      <c r="O72" s="8" t="s">
        <v>33</v>
      </c>
      <c r="P72" s="8" t="s">
        <v>749</v>
      </c>
      <c r="Q72" s="8" t="s">
        <v>410</v>
      </c>
      <c r="R72" s="8" t="s">
        <v>750</v>
      </c>
      <c r="S72" s="8"/>
      <c r="T72" s="8"/>
    </row>
    <row r="73" customFormat="false" ht="15" hidden="false" customHeight="true" outlineLevel="0" collapsed="false">
      <c r="A73" s="8" t="s">
        <v>751</v>
      </c>
      <c r="B73" s="8" t="s">
        <v>67</v>
      </c>
      <c r="C73" s="8" t="s">
        <v>302</v>
      </c>
      <c r="D73" s="8" t="s">
        <v>46</v>
      </c>
      <c r="E73" s="8" t="s">
        <v>134</v>
      </c>
      <c r="F73" s="8" t="s">
        <v>752</v>
      </c>
      <c r="G73" s="8" t="s">
        <v>753</v>
      </c>
      <c r="H73" s="8" t="s">
        <v>157</v>
      </c>
      <c r="I73" s="8" t="s">
        <v>754</v>
      </c>
      <c r="J73" s="8" t="s">
        <v>755</v>
      </c>
      <c r="K73" s="8" t="s">
        <v>756</v>
      </c>
      <c r="L73" s="8" t="s">
        <v>18</v>
      </c>
      <c r="M73" s="8" t="s">
        <v>30</v>
      </c>
      <c r="N73" s="8" t="n">
        <f aca="false">IF(OR($L73="",$M73="",$O73=""),"",IF($L73="S1",8,IF($L73="S2",4,IF($L73="S3",2,1)))*IF($M73="High",3,IF($M73="Medium",2,1))/IF($O73="S",1,IF($O73="M",2,3)))</f>
        <v>2</v>
      </c>
      <c r="O73" s="8" t="s">
        <v>33</v>
      </c>
      <c r="P73" s="8" t="s">
        <v>757</v>
      </c>
      <c r="Q73" s="8" t="s">
        <v>752</v>
      </c>
      <c r="R73" s="8" t="s">
        <v>758</v>
      </c>
      <c r="S73" s="8"/>
      <c r="T73" s="8"/>
    </row>
    <row r="74" customFormat="false" ht="15" hidden="false" customHeight="true" outlineLevel="0" collapsed="false">
      <c r="A74" s="8" t="s">
        <v>759</v>
      </c>
      <c r="B74" s="8" t="s">
        <v>87</v>
      </c>
      <c r="C74" s="8" t="s">
        <v>302</v>
      </c>
      <c r="D74" s="8" t="s">
        <v>46</v>
      </c>
      <c r="E74" s="8" t="s">
        <v>348</v>
      </c>
      <c r="F74" s="8" t="s">
        <v>760</v>
      </c>
      <c r="G74" s="8" t="s">
        <v>761</v>
      </c>
      <c r="H74" s="8" t="s">
        <v>457</v>
      </c>
      <c r="I74" s="8" t="s">
        <v>762</v>
      </c>
      <c r="J74" s="8" t="s">
        <v>763</v>
      </c>
      <c r="K74" s="8" t="s">
        <v>764</v>
      </c>
      <c r="L74" s="8" t="s">
        <v>18</v>
      </c>
      <c r="M74" s="8" t="s">
        <v>25</v>
      </c>
      <c r="N74" s="8" t="n">
        <f aca="false">IF(OR($L74="",$M74="",$O74=""),"",IF($L74="S1",8,IF($L74="S2",4,IF($L74="S3",2,1)))*IF($M74="High",3,IF($M74="Medium",2,1))/IF($O74="S",1,IF($O74="M",2,3)))</f>
        <v>6</v>
      </c>
      <c r="O74" s="8" t="s">
        <v>33</v>
      </c>
      <c r="P74" s="8" t="s">
        <v>765</v>
      </c>
      <c r="Q74" s="8" t="s">
        <v>760</v>
      </c>
      <c r="R74" s="8" t="s">
        <v>766</v>
      </c>
      <c r="S74" s="8"/>
      <c r="T74" s="8"/>
    </row>
    <row r="75" customFormat="false" ht="15" hidden="false" customHeight="true" outlineLevel="0" collapsed="false">
      <c r="A75" s="8" t="s">
        <v>767</v>
      </c>
      <c r="B75" s="8" t="s">
        <v>87</v>
      </c>
      <c r="C75" s="8" t="s">
        <v>302</v>
      </c>
      <c r="D75" s="8" t="s">
        <v>46</v>
      </c>
      <c r="E75" s="8" t="s">
        <v>348</v>
      </c>
      <c r="F75" s="8" t="s">
        <v>768</v>
      </c>
      <c r="G75" s="8" t="s">
        <v>769</v>
      </c>
      <c r="H75" s="8" t="s">
        <v>284</v>
      </c>
      <c r="I75" s="8" t="s">
        <v>770</v>
      </c>
      <c r="J75" s="8" t="s">
        <v>771</v>
      </c>
      <c r="K75" s="8" t="s">
        <v>772</v>
      </c>
      <c r="L75" s="8" t="s">
        <v>21</v>
      </c>
      <c r="M75" s="8" t="s">
        <v>28</v>
      </c>
      <c r="N75" s="8" t="n">
        <f aca="false">IF(OR($L75="",$M75="",$O75=""),"",IF($L75="S1",8,IF($L75="S2",4,IF($L75="S3",2,1)))*IF($M75="High",3,IF($M75="Medium",2,1))/IF($O75="S",1,IF($O75="M",2,3)))</f>
        <v>2</v>
      </c>
      <c r="O75" s="8" t="s">
        <v>33</v>
      </c>
      <c r="P75" s="8" t="s">
        <v>773</v>
      </c>
      <c r="Q75" s="8" t="s">
        <v>768</v>
      </c>
      <c r="R75" s="8" t="s">
        <v>774</v>
      </c>
      <c r="S75" s="8"/>
      <c r="T75" s="8"/>
    </row>
    <row r="76" customFormat="false" ht="15" hidden="false" customHeight="true" outlineLevel="0" collapsed="false">
      <c r="A76" s="8" t="s">
        <v>775</v>
      </c>
      <c r="B76" s="8" t="s">
        <v>87</v>
      </c>
      <c r="C76" s="8" t="s">
        <v>302</v>
      </c>
      <c r="D76" s="8" t="s">
        <v>46</v>
      </c>
      <c r="E76" s="8" t="s">
        <v>348</v>
      </c>
      <c r="F76" s="8" t="s">
        <v>349</v>
      </c>
      <c r="G76" s="8" t="s">
        <v>776</v>
      </c>
      <c r="H76" s="8" t="s">
        <v>146</v>
      </c>
      <c r="I76" s="8" t="s">
        <v>777</v>
      </c>
      <c r="J76" s="8" t="s">
        <v>778</v>
      </c>
      <c r="K76" s="8" t="s">
        <v>779</v>
      </c>
      <c r="L76" s="8" t="s">
        <v>21</v>
      </c>
      <c r="M76" s="8" t="s">
        <v>30</v>
      </c>
      <c r="N76" s="8" t="n">
        <f aca="false">IF(OR($L76="",$M76="",$O76=""),"",IF($L76="S1",8,IF($L76="S2",4,IF($L76="S3",2,1)))*IF($M76="High",3,IF($M76="Medium",2,1))/IF($O76="S",1,IF($O76="M",2,3)))</f>
        <v>1</v>
      </c>
      <c r="O76" s="8" t="s">
        <v>33</v>
      </c>
      <c r="P76" s="8" t="s">
        <v>780</v>
      </c>
      <c r="Q76" s="8" t="s">
        <v>349</v>
      </c>
      <c r="R76" s="8" t="s">
        <v>781</v>
      </c>
      <c r="S76" s="8"/>
      <c r="T76" s="8"/>
    </row>
    <row r="77" customFormat="false" ht="15" hidden="false" customHeight="true" outlineLevel="0" collapsed="false">
      <c r="A77" s="8" t="s">
        <v>782</v>
      </c>
      <c r="B77" s="8" t="s">
        <v>56</v>
      </c>
      <c r="C77" s="8" t="s">
        <v>302</v>
      </c>
      <c r="D77" s="8" t="s">
        <v>46</v>
      </c>
      <c r="E77" s="8" t="s">
        <v>330</v>
      </c>
      <c r="F77" s="8" t="s">
        <v>783</v>
      </c>
      <c r="G77" s="8" t="s">
        <v>784</v>
      </c>
      <c r="H77" s="8" t="s">
        <v>146</v>
      </c>
      <c r="I77" s="8" t="s">
        <v>785</v>
      </c>
      <c r="J77" s="8" t="s">
        <v>786</v>
      </c>
      <c r="K77" s="8" t="s">
        <v>787</v>
      </c>
      <c r="L77" s="8" t="s">
        <v>21</v>
      </c>
      <c r="M77" s="8" t="s">
        <v>28</v>
      </c>
      <c r="N77" s="8" t="n">
        <f aca="false">IF(OR($L77="",$M77="",$O77=""),"",IF($L77="S1",8,IF($L77="S2",4,IF($L77="S3",2,1)))*IF($M77="High",3,IF($M77="Medium",2,1))/IF($O77="S",1,IF($O77="M",2,3)))</f>
        <v>1</v>
      </c>
      <c r="O77" s="8" t="s">
        <v>35</v>
      </c>
      <c r="P77" s="8" t="s">
        <v>788</v>
      </c>
      <c r="Q77" s="8" t="s">
        <v>789</v>
      </c>
      <c r="R77" s="8" t="s">
        <v>790</v>
      </c>
      <c r="S77" s="8"/>
      <c r="T77" s="8"/>
    </row>
    <row r="78" customFormat="false" ht="15" hidden="false" customHeight="true" outlineLevel="0" collapsed="false">
      <c r="A78" s="8" t="s">
        <v>791</v>
      </c>
      <c r="B78" s="8" t="s">
        <v>75</v>
      </c>
      <c r="C78" s="8" t="s">
        <v>302</v>
      </c>
      <c r="D78" s="8" t="s">
        <v>46</v>
      </c>
      <c r="E78" s="8" t="s">
        <v>419</v>
      </c>
      <c r="F78" s="8" t="s">
        <v>383</v>
      </c>
      <c r="G78" s="8" t="s">
        <v>792</v>
      </c>
      <c r="H78" s="8" t="s">
        <v>457</v>
      </c>
      <c r="I78" s="8" t="s">
        <v>793</v>
      </c>
      <c r="J78" s="8" t="s">
        <v>794</v>
      </c>
      <c r="K78" s="8" t="s">
        <v>795</v>
      </c>
      <c r="L78" s="8" t="s">
        <v>18</v>
      </c>
      <c r="M78" s="8" t="s">
        <v>30</v>
      </c>
      <c r="N78" s="8" t="n">
        <f aca="false">IF(OR($L78="",$M78="",$O78=""),"",IF($L78="S1",8,IF($L78="S2",4,IF($L78="S3",2,1)))*IF($M78="High",3,IF($M78="Medium",2,1))/IF($O78="S",1,IF($O78="M",2,3)))</f>
        <v>2</v>
      </c>
      <c r="O78" s="8" t="s">
        <v>33</v>
      </c>
      <c r="P78" s="8" t="s">
        <v>796</v>
      </c>
      <c r="Q78" s="8" t="s">
        <v>797</v>
      </c>
      <c r="R78" s="8" t="s">
        <v>798</v>
      </c>
      <c r="S78" s="8"/>
      <c r="T78" s="8"/>
    </row>
    <row r="79" customFormat="false" ht="15" hidden="false" customHeight="true" outlineLevel="0" collapsed="false">
      <c r="A79" s="8" t="s">
        <v>799</v>
      </c>
      <c r="B79" s="8" t="s">
        <v>75</v>
      </c>
      <c r="C79" s="8" t="s">
        <v>302</v>
      </c>
      <c r="D79" s="8" t="s">
        <v>46</v>
      </c>
      <c r="E79" s="8" t="s">
        <v>419</v>
      </c>
      <c r="F79" s="8" t="s">
        <v>800</v>
      </c>
      <c r="G79" s="8" t="s">
        <v>801</v>
      </c>
      <c r="H79" s="8" t="s">
        <v>136</v>
      </c>
      <c r="I79" s="8" t="s">
        <v>802</v>
      </c>
      <c r="J79" s="8" t="s">
        <v>803</v>
      </c>
      <c r="K79" s="8" t="s">
        <v>804</v>
      </c>
      <c r="L79" s="8" t="s">
        <v>18</v>
      </c>
      <c r="M79" s="8" t="s">
        <v>30</v>
      </c>
      <c r="N79" s="8" t="n">
        <f aca="false">IF(OR($L79="",$M79="",$O79=""),"",IF($L79="S1",8,IF($L79="S2",4,IF($L79="S3",2,1)))*IF($M79="High",3,IF($M79="Medium",2,1))/IF($O79="S",1,IF($O79="M",2,3)))</f>
        <v>2</v>
      </c>
      <c r="O79" s="8" t="s">
        <v>33</v>
      </c>
      <c r="P79" s="8" t="s">
        <v>805</v>
      </c>
      <c r="Q79" s="8" t="s">
        <v>800</v>
      </c>
      <c r="R79" s="8" t="s">
        <v>806</v>
      </c>
      <c r="S79" s="8"/>
      <c r="T79" s="8"/>
    </row>
    <row r="80" customFormat="false" ht="15" hidden="false" customHeight="true" outlineLevel="0" collapsed="false">
      <c r="A80" s="8" t="s">
        <v>807</v>
      </c>
      <c r="B80" s="8" t="s">
        <v>75</v>
      </c>
      <c r="C80" s="8" t="s">
        <v>302</v>
      </c>
      <c r="D80" s="8" t="s">
        <v>46</v>
      </c>
      <c r="E80" s="8" t="s">
        <v>419</v>
      </c>
      <c r="F80" s="8" t="s">
        <v>808</v>
      </c>
      <c r="G80" s="8" t="s">
        <v>809</v>
      </c>
      <c r="H80" s="8" t="s">
        <v>136</v>
      </c>
      <c r="I80" s="8" t="s">
        <v>810</v>
      </c>
      <c r="J80" s="8" t="s">
        <v>811</v>
      </c>
      <c r="K80" s="8" t="s">
        <v>812</v>
      </c>
      <c r="L80" s="8" t="s">
        <v>18</v>
      </c>
      <c r="M80" s="8" t="s">
        <v>30</v>
      </c>
      <c r="N80" s="8" t="n">
        <f aca="false">IF(OR($L80="",$M80="",$O80=""),"",IF($L80="S1",8,IF($L80="S2",4,IF($L80="S3",2,1)))*IF($M80="High",3,IF($M80="Medium",2,1))/IF($O80="S",1,IF($O80="M",2,3)))</f>
        <v>2</v>
      </c>
      <c r="O80" s="8" t="s">
        <v>33</v>
      </c>
      <c r="P80" s="8" t="s">
        <v>813</v>
      </c>
      <c r="Q80" s="8" t="s">
        <v>808</v>
      </c>
      <c r="R80" s="8" t="s">
        <v>814</v>
      </c>
      <c r="S80" s="8"/>
      <c r="T80" s="8"/>
    </row>
    <row r="81" customFormat="false" ht="15" hidden="false" customHeight="true" outlineLevel="0" collapsed="false">
      <c r="A81" s="8" t="s">
        <v>815</v>
      </c>
      <c r="B81" s="8" t="s">
        <v>75</v>
      </c>
      <c r="C81" s="8" t="s">
        <v>302</v>
      </c>
      <c r="D81" s="8" t="s">
        <v>46</v>
      </c>
      <c r="E81" s="8" t="s">
        <v>419</v>
      </c>
      <c r="F81" s="8" t="s">
        <v>816</v>
      </c>
      <c r="G81" s="8" t="s">
        <v>817</v>
      </c>
      <c r="H81" s="8" t="s">
        <v>127</v>
      </c>
      <c r="I81" s="8" t="s">
        <v>818</v>
      </c>
      <c r="J81" s="8" t="s">
        <v>819</v>
      </c>
      <c r="K81" s="8" t="s">
        <v>820</v>
      </c>
      <c r="L81" s="8" t="s">
        <v>21</v>
      </c>
      <c r="M81" s="8" t="s">
        <v>30</v>
      </c>
      <c r="N81" s="8" t="n">
        <f aca="false">IF(OR($L81="",$M81="",$O81=""),"",IF($L81="S1",8,IF($L81="S2",4,IF($L81="S3",2,1)))*IF($M81="High",3,IF($M81="Medium",2,1))/IF($O81="S",1,IF($O81="M",2,3)))</f>
        <v>1</v>
      </c>
      <c r="O81" s="8" t="s">
        <v>33</v>
      </c>
      <c r="P81" s="8" t="s">
        <v>821</v>
      </c>
      <c r="Q81" s="8" t="s">
        <v>816</v>
      </c>
      <c r="R81" s="8" t="s">
        <v>822</v>
      </c>
      <c r="S81" s="8"/>
      <c r="T81" s="8"/>
    </row>
    <row r="82" customFormat="false" ht="15" hidden="false" customHeight="true" outlineLevel="0" collapsed="false">
      <c r="A82" s="8" t="s">
        <v>823</v>
      </c>
      <c r="B82" s="8" t="s">
        <v>75</v>
      </c>
      <c r="C82" s="8" t="s">
        <v>302</v>
      </c>
      <c r="D82" s="8" t="s">
        <v>46</v>
      </c>
      <c r="E82" s="8" t="s">
        <v>419</v>
      </c>
      <c r="F82" s="8" t="s">
        <v>824</v>
      </c>
      <c r="G82" s="8" t="s">
        <v>825</v>
      </c>
      <c r="H82" s="8" t="s">
        <v>146</v>
      </c>
      <c r="I82" s="8" t="s">
        <v>826</v>
      </c>
      <c r="J82" s="8" t="s">
        <v>827</v>
      </c>
      <c r="K82" s="8" t="s">
        <v>828</v>
      </c>
      <c r="L82" s="8" t="s">
        <v>21</v>
      </c>
      <c r="M82" s="8" t="s">
        <v>28</v>
      </c>
      <c r="N82" s="8" t="n">
        <f aca="false">IF(OR($L82="",$M82="",$O82=""),"",IF($L82="S1",8,IF($L82="S2",4,IF($L82="S3",2,1)))*IF($M82="High",3,IF($M82="Medium",2,1))/IF($O82="S",1,IF($O82="M",2,3)))</f>
        <v>2</v>
      </c>
      <c r="O82" s="8" t="s">
        <v>33</v>
      </c>
      <c r="P82" s="8" t="s">
        <v>829</v>
      </c>
      <c r="Q82" s="8" t="s">
        <v>824</v>
      </c>
      <c r="R82" s="8" t="s">
        <v>830</v>
      </c>
      <c r="S82" s="8"/>
      <c r="T82" s="8"/>
    </row>
    <row r="83" customFormat="false" ht="15" hidden="false" customHeight="true" outlineLevel="0" collapsed="false">
      <c r="A83" s="8" t="s">
        <v>831</v>
      </c>
      <c r="B83" s="8" t="s">
        <v>71</v>
      </c>
      <c r="C83" s="8" t="s">
        <v>302</v>
      </c>
      <c r="D83" s="8" t="s">
        <v>46</v>
      </c>
      <c r="E83" s="8" t="s">
        <v>251</v>
      </c>
      <c r="F83" s="8" t="s">
        <v>832</v>
      </c>
      <c r="G83" s="8" t="s">
        <v>833</v>
      </c>
      <c r="H83" s="8" t="s">
        <v>157</v>
      </c>
      <c r="I83" s="8" t="s">
        <v>834</v>
      </c>
      <c r="J83" s="8" t="s">
        <v>835</v>
      </c>
      <c r="K83" s="8" t="s">
        <v>836</v>
      </c>
      <c r="L83" s="8" t="s">
        <v>18</v>
      </c>
      <c r="M83" s="8" t="s">
        <v>28</v>
      </c>
      <c r="N83" s="8" t="n">
        <f aca="false">IF(OR($L83="",$M83="",$O83=""),"",IF($L83="S1",8,IF($L83="S2",4,IF($L83="S3",2,1)))*IF($M83="High",3,IF($M83="Medium",2,1))/IF($O83="S",1,IF($O83="M",2,3)))</f>
        <v>4</v>
      </c>
      <c r="O83" s="8" t="s">
        <v>33</v>
      </c>
      <c r="P83" s="8" t="s">
        <v>837</v>
      </c>
      <c r="Q83" s="8" t="s">
        <v>838</v>
      </c>
      <c r="R83" s="8" t="s">
        <v>839</v>
      </c>
      <c r="S83" s="8"/>
      <c r="T83" s="8"/>
    </row>
    <row r="84" customFormat="false" ht="15" hidden="false" customHeight="true" outlineLevel="0" collapsed="false">
      <c r="A84" s="8" t="s">
        <v>840</v>
      </c>
      <c r="B84" s="8" t="s">
        <v>71</v>
      </c>
      <c r="C84" s="8" t="s">
        <v>302</v>
      </c>
      <c r="D84" s="8" t="s">
        <v>46</v>
      </c>
      <c r="E84" s="8" t="s">
        <v>251</v>
      </c>
      <c r="F84" s="8" t="s">
        <v>841</v>
      </c>
      <c r="G84" s="8" t="s">
        <v>842</v>
      </c>
      <c r="H84" s="8" t="s">
        <v>157</v>
      </c>
      <c r="I84" s="8" t="s">
        <v>843</v>
      </c>
      <c r="J84" s="8" t="s">
        <v>844</v>
      </c>
      <c r="K84" s="8" t="s">
        <v>845</v>
      </c>
      <c r="L84" s="8" t="s">
        <v>18</v>
      </c>
      <c r="M84" s="8" t="s">
        <v>30</v>
      </c>
      <c r="N84" s="8" t="n">
        <f aca="false">IF(OR($L84="",$M84="",$O84=""),"",IF($L84="S1",8,IF($L84="S2",4,IF($L84="S3",2,1)))*IF($M84="High",3,IF($M84="Medium",2,1))/IF($O84="S",1,IF($O84="M",2,3)))</f>
        <v>1</v>
      </c>
      <c r="O84" s="8" t="s">
        <v>35</v>
      </c>
      <c r="P84" s="8" t="s">
        <v>846</v>
      </c>
      <c r="Q84" s="8" t="s">
        <v>847</v>
      </c>
      <c r="R84" s="8" t="s">
        <v>848</v>
      </c>
      <c r="S84" s="8"/>
      <c r="T84" s="8"/>
    </row>
    <row r="85" customFormat="false" ht="15" hidden="false" customHeight="true" outlineLevel="0" collapsed="false">
      <c r="A85" s="8" t="s">
        <v>849</v>
      </c>
      <c r="B85" s="8" t="s">
        <v>71</v>
      </c>
      <c r="C85" s="8" t="s">
        <v>302</v>
      </c>
      <c r="D85" s="8" t="s">
        <v>46</v>
      </c>
      <c r="E85" s="8" t="s">
        <v>251</v>
      </c>
      <c r="F85" s="8" t="s">
        <v>850</v>
      </c>
      <c r="G85" s="8" t="s">
        <v>851</v>
      </c>
      <c r="H85" s="8" t="s">
        <v>146</v>
      </c>
      <c r="I85" s="8" t="s">
        <v>852</v>
      </c>
      <c r="J85" s="8" t="s">
        <v>853</v>
      </c>
      <c r="K85" s="8" t="s">
        <v>854</v>
      </c>
      <c r="L85" s="8" t="s">
        <v>21</v>
      </c>
      <c r="M85" s="8" t="s">
        <v>30</v>
      </c>
      <c r="N85" s="8" t="n">
        <f aca="false">IF(OR($L85="",$M85="",$O85=""),"",IF($L85="S1",8,IF($L85="S2",4,IF($L85="S3",2,1)))*IF($M85="High",3,IF($M85="Medium",2,1))/IF($O85="S",1,IF($O85="M",2,3)))</f>
        <v>1</v>
      </c>
      <c r="O85" s="8" t="s">
        <v>33</v>
      </c>
      <c r="P85" s="8" t="s">
        <v>855</v>
      </c>
      <c r="Q85" s="8" t="s">
        <v>850</v>
      </c>
      <c r="R85" s="8" t="s">
        <v>856</v>
      </c>
      <c r="S85" s="8"/>
      <c r="T85" s="8"/>
    </row>
    <row r="86" customFormat="false" ht="15" hidden="false" customHeight="true" outlineLevel="0" collapsed="false">
      <c r="A86" s="8" t="s">
        <v>857</v>
      </c>
      <c r="B86" s="8" t="s">
        <v>71</v>
      </c>
      <c r="C86" s="8" t="s">
        <v>302</v>
      </c>
      <c r="D86" s="8" t="s">
        <v>46</v>
      </c>
      <c r="E86" s="8" t="s">
        <v>251</v>
      </c>
      <c r="F86" s="8" t="s">
        <v>625</v>
      </c>
      <c r="G86" s="8" t="s">
        <v>858</v>
      </c>
      <c r="H86" s="8" t="s">
        <v>226</v>
      </c>
      <c r="I86" s="8" t="s">
        <v>859</v>
      </c>
      <c r="J86" s="8" t="s">
        <v>860</v>
      </c>
      <c r="K86" s="8" t="s">
        <v>861</v>
      </c>
      <c r="L86" s="8" t="s">
        <v>21</v>
      </c>
      <c r="M86" s="8" t="s">
        <v>30</v>
      </c>
      <c r="N86" s="8" t="n">
        <f aca="false">IF(OR($L86="",$M86="",$O86=""),"",IF($L86="S1",8,IF($L86="S2",4,IF($L86="S3",2,1)))*IF($M86="High",3,IF($M86="Medium",2,1))/IF($O86="S",1,IF($O86="M",2,3)))</f>
        <v>1</v>
      </c>
      <c r="O86" s="8" t="s">
        <v>33</v>
      </c>
      <c r="P86" s="8" t="s">
        <v>862</v>
      </c>
      <c r="Q86" s="8" t="s">
        <v>863</v>
      </c>
      <c r="R86" s="8" t="s">
        <v>864</v>
      </c>
      <c r="S86" s="8"/>
      <c r="T86" s="8"/>
    </row>
    <row r="87" customFormat="false" ht="15" hidden="false" customHeight="true" outlineLevel="0" collapsed="false">
      <c r="A87" s="8" t="s">
        <v>865</v>
      </c>
      <c r="B87" s="8" t="s">
        <v>79</v>
      </c>
      <c r="C87" s="8" t="s">
        <v>302</v>
      </c>
      <c r="D87" s="8" t="s">
        <v>46</v>
      </c>
      <c r="E87" s="8" t="s">
        <v>321</v>
      </c>
      <c r="F87" s="8" t="s">
        <v>866</v>
      </c>
      <c r="G87" s="8" t="s">
        <v>867</v>
      </c>
      <c r="H87" s="8" t="s">
        <v>136</v>
      </c>
      <c r="I87" s="8" t="s">
        <v>868</v>
      </c>
      <c r="J87" s="8" t="s">
        <v>869</v>
      </c>
      <c r="K87" s="8" t="s">
        <v>870</v>
      </c>
      <c r="L87" s="8" t="s">
        <v>18</v>
      </c>
      <c r="M87" s="8" t="s">
        <v>30</v>
      </c>
      <c r="N87" s="8" t="n">
        <f aca="false">IF(OR($L87="",$M87="",$O87=""),"",IF($L87="S1",8,IF($L87="S2",4,IF($L87="S3",2,1)))*IF($M87="High",3,IF($M87="Medium",2,1))/IF($O87="S",1,IF($O87="M",2,3)))</f>
        <v>2</v>
      </c>
      <c r="O87" s="8" t="s">
        <v>33</v>
      </c>
      <c r="P87" s="8" t="s">
        <v>871</v>
      </c>
      <c r="Q87" s="8" t="s">
        <v>866</v>
      </c>
      <c r="R87" s="8" t="s">
        <v>872</v>
      </c>
      <c r="S87" s="8"/>
      <c r="T87" s="8"/>
    </row>
    <row r="88" customFormat="false" ht="15" hidden="false" customHeight="true" outlineLevel="0" collapsed="false">
      <c r="A88" s="8" t="s">
        <v>873</v>
      </c>
      <c r="B88" s="8" t="s">
        <v>60</v>
      </c>
      <c r="C88" s="8" t="s">
        <v>302</v>
      </c>
      <c r="D88" s="8" t="s">
        <v>46</v>
      </c>
      <c r="E88" s="8" t="s">
        <v>233</v>
      </c>
      <c r="F88" s="8" t="s">
        <v>874</v>
      </c>
      <c r="G88" s="8" t="s">
        <v>875</v>
      </c>
      <c r="H88" s="8" t="s">
        <v>169</v>
      </c>
      <c r="I88" s="8" t="s">
        <v>876</v>
      </c>
      <c r="J88" s="8" t="s">
        <v>877</v>
      </c>
      <c r="K88" s="8" t="s">
        <v>878</v>
      </c>
      <c r="L88" s="8" t="s">
        <v>15</v>
      </c>
      <c r="M88" s="8" t="s">
        <v>25</v>
      </c>
      <c r="N88" s="8" t="n">
        <f aca="false">IF(OR($L88="",$M88="",$O88=""),"",IF($L88="S1",8,IF($L88="S2",4,IF($L88="S3",2,1)))*IF($M88="High",3,IF($M88="Medium",2,1))/IF($O88="S",1,IF($O88="M",2,3)))</f>
        <v>6</v>
      </c>
      <c r="O88" s="8" t="s">
        <v>35</v>
      </c>
      <c r="P88" s="8" t="s">
        <v>879</v>
      </c>
      <c r="Q88" s="8" t="s">
        <v>880</v>
      </c>
      <c r="R88" s="8" t="s">
        <v>881</v>
      </c>
      <c r="S88" s="8"/>
      <c r="T88" s="8"/>
    </row>
    <row r="89" customFormat="false" ht="15" hidden="false" customHeight="true" outlineLevel="0" collapsed="false">
      <c r="A89" s="8" t="s">
        <v>882</v>
      </c>
      <c r="B89" s="8" t="s">
        <v>60</v>
      </c>
      <c r="C89" s="8" t="s">
        <v>302</v>
      </c>
      <c r="D89" s="8" t="s">
        <v>46</v>
      </c>
      <c r="E89" s="8" t="s">
        <v>233</v>
      </c>
      <c r="F89" s="8" t="s">
        <v>214</v>
      </c>
      <c r="G89" s="8" t="s">
        <v>883</v>
      </c>
      <c r="H89" s="8" t="s">
        <v>127</v>
      </c>
      <c r="I89" s="8" t="s">
        <v>884</v>
      </c>
      <c r="J89" s="8" t="s">
        <v>885</v>
      </c>
      <c r="K89" s="8" t="s">
        <v>886</v>
      </c>
      <c r="L89" s="8" t="s">
        <v>18</v>
      </c>
      <c r="M89" s="8" t="s">
        <v>28</v>
      </c>
      <c r="N89" s="8" t="n">
        <f aca="false">IF(OR($L89="",$M89="",$O89=""),"",IF($L89="S1",8,IF($L89="S2",4,IF($L89="S3",2,1)))*IF($M89="High",3,IF($M89="Medium",2,1))/IF($O89="S",1,IF($O89="M",2,3)))</f>
        <v>4</v>
      </c>
      <c r="O89" s="8" t="s">
        <v>33</v>
      </c>
      <c r="P89" s="8" t="s">
        <v>887</v>
      </c>
      <c r="Q89" s="8" t="s">
        <v>888</v>
      </c>
      <c r="R89" s="8" t="s">
        <v>889</v>
      </c>
      <c r="S89" s="8"/>
      <c r="T89" s="8"/>
    </row>
    <row r="90" customFormat="false" ht="15" hidden="false" customHeight="true" outlineLevel="0" collapsed="false">
      <c r="A90" s="8" t="s">
        <v>890</v>
      </c>
      <c r="B90" s="8" t="s">
        <v>91</v>
      </c>
      <c r="C90" s="8" t="s">
        <v>302</v>
      </c>
      <c r="D90" s="8" t="s">
        <v>46</v>
      </c>
      <c r="E90" s="8" t="s">
        <v>891</v>
      </c>
      <c r="F90" s="8" t="s">
        <v>892</v>
      </c>
      <c r="G90" s="8" t="s">
        <v>893</v>
      </c>
      <c r="H90" s="8" t="s">
        <v>284</v>
      </c>
      <c r="I90" s="8" t="s">
        <v>894</v>
      </c>
      <c r="J90" s="8" t="s">
        <v>895</v>
      </c>
      <c r="K90" s="8" t="s">
        <v>896</v>
      </c>
      <c r="L90" s="8" t="s">
        <v>21</v>
      </c>
      <c r="M90" s="8" t="s">
        <v>28</v>
      </c>
      <c r="N90" s="8" t="n">
        <f aca="false">IF(OR($L90="",$M90="",$O90=""),"",IF($L90="S1",8,IF($L90="S2",4,IF($L90="S3",2,1)))*IF($M90="High",3,IF($M90="Medium",2,1))/IF($O90="S",1,IF($O90="M",2,3)))</f>
        <v>2</v>
      </c>
      <c r="O90" s="8" t="s">
        <v>33</v>
      </c>
      <c r="P90" s="8" t="s">
        <v>897</v>
      </c>
      <c r="Q90" s="8" t="s">
        <v>898</v>
      </c>
      <c r="R90" s="8" t="s">
        <v>899</v>
      </c>
      <c r="S90" s="8"/>
      <c r="T90" s="8"/>
    </row>
    <row r="91" customFormat="false" ht="15" hidden="false" customHeight="true" outlineLevel="0" collapsed="false">
      <c r="A91" s="8" t="s">
        <v>900</v>
      </c>
      <c r="B91" s="8" t="s">
        <v>91</v>
      </c>
      <c r="C91" s="8" t="s">
        <v>302</v>
      </c>
      <c r="D91" s="8" t="s">
        <v>46</v>
      </c>
      <c r="E91" s="8" t="s">
        <v>891</v>
      </c>
      <c r="F91" s="8" t="s">
        <v>901</v>
      </c>
      <c r="G91" s="8" t="s">
        <v>902</v>
      </c>
      <c r="H91" s="8" t="s">
        <v>284</v>
      </c>
      <c r="I91" s="8" t="s">
        <v>903</v>
      </c>
      <c r="J91" s="8" t="s">
        <v>904</v>
      </c>
      <c r="K91" s="8" t="s">
        <v>905</v>
      </c>
      <c r="L91" s="8" t="s">
        <v>21</v>
      </c>
      <c r="M91" s="8" t="s">
        <v>25</v>
      </c>
      <c r="N91" s="8" t="n">
        <f aca="false">IF(OR($L91="",$M91="",$O91=""),"",IF($L91="S1",8,IF($L91="S2",4,IF($L91="S3",2,1)))*IF($M91="High",3,IF($M91="Medium",2,1))/IF($O91="S",1,IF($O91="M",2,3)))</f>
        <v>3</v>
      </c>
      <c r="O91" s="8" t="s">
        <v>33</v>
      </c>
      <c r="P91" s="8" t="s">
        <v>906</v>
      </c>
      <c r="Q91" s="8" t="s">
        <v>907</v>
      </c>
      <c r="R91" s="8" t="s">
        <v>908</v>
      </c>
      <c r="S91" s="8"/>
      <c r="T91" s="8"/>
    </row>
    <row r="92" customFormat="false" ht="15" hidden="false" customHeight="true" outlineLevel="0" collapsed="false">
      <c r="A92" s="8" t="s">
        <v>909</v>
      </c>
      <c r="B92" s="8" t="s">
        <v>91</v>
      </c>
      <c r="C92" s="8" t="s">
        <v>302</v>
      </c>
      <c r="D92" s="8" t="s">
        <v>46</v>
      </c>
      <c r="E92" s="8" t="s">
        <v>891</v>
      </c>
      <c r="F92" s="8" t="s">
        <v>293</v>
      </c>
      <c r="G92" s="8" t="s">
        <v>910</v>
      </c>
      <c r="H92" s="8" t="s">
        <v>284</v>
      </c>
      <c r="I92" s="8" t="s">
        <v>911</v>
      </c>
      <c r="J92" s="8" t="s">
        <v>912</v>
      </c>
      <c r="K92" s="8" t="s">
        <v>913</v>
      </c>
      <c r="L92" s="8" t="s">
        <v>21</v>
      </c>
      <c r="M92" s="8" t="s">
        <v>28</v>
      </c>
      <c r="N92" s="8" t="n">
        <f aca="false">IF(OR($L92="",$M92="",$O92=""),"",IF($L92="S1",8,IF($L92="S2",4,IF($L92="S3",2,1)))*IF($M92="High",3,IF($M92="Medium",2,1))/IF($O92="S",1,IF($O92="M",2,3)))</f>
        <v>2</v>
      </c>
      <c r="O92" s="8" t="s">
        <v>33</v>
      </c>
      <c r="P92" s="8" t="s">
        <v>914</v>
      </c>
      <c r="Q92" s="8" t="s">
        <v>293</v>
      </c>
      <c r="R92" s="8" t="s">
        <v>915</v>
      </c>
      <c r="S92" s="8"/>
      <c r="T92" s="8"/>
    </row>
    <row r="93" customFormat="false" ht="15" hidden="false" customHeight="true" outlineLevel="0" collapsed="false">
      <c r="A93" s="8" t="s">
        <v>916</v>
      </c>
      <c r="B93" s="8" t="s">
        <v>91</v>
      </c>
      <c r="C93" s="8" t="s">
        <v>302</v>
      </c>
      <c r="D93" s="8" t="s">
        <v>46</v>
      </c>
      <c r="E93" s="8" t="s">
        <v>891</v>
      </c>
      <c r="F93" s="8" t="s">
        <v>917</v>
      </c>
      <c r="G93" s="8" t="s">
        <v>918</v>
      </c>
      <c r="H93" s="8" t="s">
        <v>146</v>
      </c>
      <c r="I93" s="8" t="s">
        <v>919</v>
      </c>
      <c r="J93" s="8" t="s">
        <v>920</v>
      </c>
      <c r="K93" s="8" t="s">
        <v>921</v>
      </c>
      <c r="L93" s="8" t="s">
        <v>21</v>
      </c>
      <c r="M93" s="8" t="s">
        <v>30</v>
      </c>
      <c r="N93" s="8" t="n">
        <f aca="false">IF(OR($L93="",$M93="",$O93=""),"",IF($L93="S1",8,IF($L93="S2",4,IF($L93="S3",2,1)))*IF($M93="High",3,IF($M93="Medium",2,1))/IF($O93="S",1,IF($O93="M",2,3)))</f>
        <v>1</v>
      </c>
      <c r="O93" s="8" t="s">
        <v>33</v>
      </c>
      <c r="P93" s="8" t="s">
        <v>922</v>
      </c>
      <c r="Q93" s="8" t="s">
        <v>923</v>
      </c>
      <c r="R93" s="8" t="s">
        <v>924</v>
      </c>
      <c r="S93" s="8"/>
      <c r="T93" s="8"/>
    </row>
    <row r="94" customFormat="false" ht="15" hidden="false" customHeight="true" outlineLevel="0" collapsed="false">
      <c r="A94" s="8" t="s">
        <v>925</v>
      </c>
      <c r="B94" s="8" t="s">
        <v>91</v>
      </c>
      <c r="C94" s="8" t="s">
        <v>302</v>
      </c>
      <c r="D94" s="8" t="s">
        <v>46</v>
      </c>
      <c r="E94" s="8" t="s">
        <v>891</v>
      </c>
      <c r="F94" s="8" t="s">
        <v>926</v>
      </c>
      <c r="G94" s="8" t="s">
        <v>927</v>
      </c>
      <c r="H94" s="8" t="s">
        <v>284</v>
      </c>
      <c r="I94" s="8" t="s">
        <v>928</v>
      </c>
      <c r="J94" s="8" t="s">
        <v>929</v>
      </c>
      <c r="K94" s="8" t="s">
        <v>930</v>
      </c>
      <c r="L94" s="8" t="s">
        <v>21</v>
      </c>
      <c r="M94" s="8" t="s">
        <v>28</v>
      </c>
      <c r="N94" s="8" t="n">
        <f aca="false">IF(OR($L94="",$M94="",$O94=""),"",IF($L94="S1",8,IF($L94="S2",4,IF($L94="S3",2,1)))*IF($M94="High",3,IF($M94="Medium",2,1))/IF($O94="S",1,IF($O94="M",2,3)))</f>
        <v>1</v>
      </c>
      <c r="O94" s="8" t="s">
        <v>35</v>
      </c>
      <c r="P94" s="8" t="s">
        <v>931</v>
      </c>
      <c r="Q94" s="8" t="s">
        <v>932</v>
      </c>
      <c r="R94" s="8" t="s">
        <v>933</v>
      </c>
      <c r="S94" s="8"/>
      <c r="T94" s="8"/>
    </row>
    <row r="95" customFormat="false" ht="15" hidden="false" customHeight="true" outlineLevel="0" collapsed="false">
      <c r="A95" s="8" t="s">
        <v>934</v>
      </c>
      <c r="B95" s="8" t="s">
        <v>91</v>
      </c>
      <c r="C95" s="8" t="s">
        <v>302</v>
      </c>
      <c r="D95" s="8" t="s">
        <v>46</v>
      </c>
      <c r="E95" s="8" t="s">
        <v>891</v>
      </c>
      <c r="F95" s="8" t="s">
        <v>935</v>
      </c>
      <c r="G95" s="8" t="s">
        <v>936</v>
      </c>
      <c r="H95" s="8" t="s">
        <v>284</v>
      </c>
      <c r="I95" s="8" t="s">
        <v>937</v>
      </c>
      <c r="J95" s="8" t="s">
        <v>938</v>
      </c>
      <c r="K95" s="8" t="s">
        <v>939</v>
      </c>
      <c r="L95" s="8" t="s">
        <v>21</v>
      </c>
      <c r="M95" s="8" t="s">
        <v>28</v>
      </c>
      <c r="N95" s="8" t="n">
        <f aca="false">IF(OR($L95="",$M95="",$O95=""),"",IF($L95="S1",8,IF($L95="S2",4,IF($L95="S3",2,1)))*IF($M95="High",3,IF($M95="Medium",2,1))/IF($O95="S",1,IF($O95="M",2,3)))</f>
        <v>2</v>
      </c>
      <c r="O95" s="8" t="s">
        <v>33</v>
      </c>
      <c r="P95" s="8" t="s">
        <v>940</v>
      </c>
      <c r="Q95" s="8" t="s">
        <v>941</v>
      </c>
      <c r="R95" s="8" t="s">
        <v>942</v>
      </c>
      <c r="S95" s="8"/>
      <c r="T95" s="8"/>
    </row>
    <row r="96" customFormat="false" ht="15" hidden="false" customHeight="true" outlineLevel="0" collapsed="false">
      <c r="A96" s="8" t="s">
        <v>943</v>
      </c>
      <c r="B96" s="8" t="s">
        <v>91</v>
      </c>
      <c r="C96" s="8" t="s">
        <v>302</v>
      </c>
      <c r="D96" s="8" t="s">
        <v>46</v>
      </c>
      <c r="E96" s="8" t="s">
        <v>891</v>
      </c>
      <c r="F96" s="8" t="s">
        <v>944</v>
      </c>
      <c r="G96" s="8" t="s">
        <v>945</v>
      </c>
      <c r="H96" s="8" t="s">
        <v>284</v>
      </c>
      <c r="I96" s="8" t="s">
        <v>946</v>
      </c>
      <c r="J96" s="8" t="s">
        <v>947</v>
      </c>
      <c r="K96" s="8" t="s">
        <v>948</v>
      </c>
      <c r="L96" s="8" t="s">
        <v>21</v>
      </c>
      <c r="M96" s="8" t="s">
        <v>28</v>
      </c>
      <c r="N96" s="8" t="n">
        <f aca="false">IF(OR($L96="",$M96="",$O96=""),"",IF($L96="S1",8,IF($L96="S2",4,IF($L96="S3",2,1)))*IF($M96="High",3,IF($M96="Medium",2,1))/IF($O96="S",1,IF($O96="M",2,3)))</f>
        <v>2</v>
      </c>
      <c r="O96" s="8" t="s">
        <v>33</v>
      </c>
      <c r="P96" s="8" t="s">
        <v>949</v>
      </c>
      <c r="Q96" s="8" t="s">
        <v>950</v>
      </c>
      <c r="R96" s="8" t="s">
        <v>951</v>
      </c>
      <c r="S96" s="8"/>
      <c r="T96" s="8"/>
    </row>
    <row r="97" customFormat="false" ht="15" hidden="false" customHeight="true" outlineLevel="0" collapsed="false">
      <c r="A97" s="8" t="s">
        <v>952</v>
      </c>
      <c r="B97" s="8" t="s">
        <v>91</v>
      </c>
      <c r="C97" s="8" t="s">
        <v>302</v>
      </c>
      <c r="D97" s="8" t="s">
        <v>46</v>
      </c>
      <c r="E97" s="8" t="s">
        <v>891</v>
      </c>
      <c r="F97" s="8" t="s">
        <v>293</v>
      </c>
      <c r="G97" s="8" t="s">
        <v>953</v>
      </c>
      <c r="H97" s="8" t="s">
        <v>146</v>
      </c>
      <c r="I97" s="8" t="s">
        <v>954</v>
      </c>
      <c r="J97" s="8" t="s">
        <v>955</v>
      </c>
      <c r="K97" s="8" t="s">
        <v>956</v>
      </c>
      <c r="L97" s="8" t="s">
        <v>21</v>
      </c>
      <c r="M97" s="8" t="s">
        <v>25</v>
      </c>
      <c r="N97" s="8" t="n">
        <f aca="false">IF(OR($L97="",$M97="",$O97=""),"",IF($L97="S1",8,IF($L97="S2",4,IF($L97="S3",2,1)))*IF($M97="High",3,IF($M97="Medium",2,1))/IF($O97="S",1,IF($O97="M",2,3)))</f>
        <v>3</v>
      </c>
      <c r="O97" s="8" t="s">
        <v>33</v>
      </c>
      <c r="P97" s="8" t="s">
        <v>957</v>
      </c>
      <c r="Q97" s="8" t="s">
        <v>293</v>
      </c>
      <c r="R97" s="8" t="s">
        <v>958</v>
      </c>
      <c r="S97" s="8"/>
      <c r="T97" s="8"/>
    </row>
    <row r="98" customFormat="false" ht="15" hidden="false" customHeight="true" outlineLevel="0" collapsed="false">
      <c r="A98" s="8" t="s">
        <v>959</v>
      </c>
      <c r="B98" s="8" t="s">
        <v>91</v>
      </c>
      <c r="C98" s="8" t="s">
        <v>302</v>
      </c>
      <c r="D98" s="8" t="s">
        <v>46</v>
      </c>
      <c r="E98" s="8" t="s">
        <v>891</v>
      </c>
      <c r="F98" s="8" t="s">
        <v>901</v>
      </c>
      <c r="G98" s="8" t="s">
        <v>960</v>
      </c>
      <c r="H98" s="8" t="s">
        <v>146</v>
      </c>
      <c r="I98" s="8" t="s">
        <v>961</v>
      </c>
      <c r="J98" s="8" t="s">
        <v>962</v>
      </c>
      <c r="K98" s="8" t="s">
        <v>963</v>
      </c>
      <c r="L98" s="8" t="s">
        <v>21</v>
      </c>
      <c r="M98" s="8" t="s">
        <v>30</v>
      </c>
      <c r="N98" s="8" t="n">
        <f aca="false">IF(OR($L98="",$M98="",$O98=""),"",IF($L98="S1",8,IF($L98="S2",4,IF($L98="S3",2,1)))*IF($M98="High",3,IF($M98="Medium",2,1))/IF($O98="S",1,IF($O98="M",2,3)))</f>
        <v>1</v>
      </c>
      <c r="O98" s="8" t="s">
        <v>33</v>
      </c>
      <c r="P98" s="8" t="s">
        <v>964</v>
      </c>
      <c r="Q98" s="8" t="s">
        <v>901</v>
      </c>
      <c r="R98" s="8" t="s">
        <v>965</v>
      </c>
      <c r="S98" s="8"/>
      <c r="T98" s="8"/>
    </row>
    <row r="99" customFormat="false" ht="15" hidden="false" customHeight="true" outlineLevel="0" collapsed="false">
      <c r="A99" s="8" t="s">
        <v>966</v>
      </c>
      <c r="B99" s="8" t="s">
        <v>91</v>
      </c>
      <c r="C99" s="8" t="s">
        <v>302</v>
      </c>
      <c r="D99" s="8" t="s">
        <v>46</v>
      </c>
      <c r="E99" s="8" t="s">
        <v>891</v>
      </c>
      <c r="F99" s="8" t="s">
        <v>967</v>
      </c>
      <c r="G99" s="8" t="s">
        <v>968</v>
      </c>
      <c r="H99" s="8" t="s">
        <v>136</v>
      </c>
      <c r="I99" s="8" t="s">
        <v>969</v>
      </c>
      <c r="J99" s="8" t="s">
        <v>970</v>
      </c>
      <c r="K99" s="8" t="s">
        <v>971</v>
      </c>
      <c r="L99" s="8" t="s">
        <v>18</v>
      </c>
      <c r="M99" s="8" t="s">
        <v>30</v>
      </c>
      <c r="N99" s="8" t="n">
        <f aca="false">IF(OR($L99="",$M99="",$O99=""),"",IF($L99="S1",8,IF($L99="S2",4,IF($L99="S3",2,1)))*IF($M99="High",3,IF($M99="Medium",2,1))/IF($O99="S",1,IF($O99="M",2,3)))</f>
        <v>1</v>
      </c>
      <c r="O99" s="8" t="s">
        <v>35</v>
      </c>
      <c r="P99" s="8" t="s">
        <v>972</v>
      </c>
      <c r="Q99" s="8" t="s">
        <v>973</v>
      </c>
      <c r="R99" s="8" t="s">
        <v>974</v>
      </c>
      <c r="S99" s="8"/>
      <c r="T99" s="8"/>
    </row>
    <row r="100" customFormat="false" ht="15" hidden="false" customHeight="true" outlineLevel="0" collapsed="false">
      <c r="A100" s="8" t="s">
        <v>975</v>
      </c>
      <c r="B100" s="8" t="s">
        <v>83</v>
      </c>
      <c r="C100" s="8" t="s">
        <v>302</v>
      </c>
      <c r="D100" s="8" t="s">
        <v>46</v>
      </c>
      <c r="E100" s="8" t="s">
        <v>303</v>
      </c>
      <c r="F100" s="8" t="s">
        <v>976</v>
      </c>
      <c r="G100" s="8" t="s">
        <v>977</v>
      </c>
      <c r="H100" s="8" t="s">
        <v>457</v>
      </c>
      <c r="I100" s="8" t="s">
        <v>978</v>
      </c>
      <c r="J100" s="8" t="s">
        <v>979</v>
      </c>
      <c r="K100" s="8" t="s">
        <v>980</v>
      </c>
      <c r="L100" s="8" t="s">
        <v>18</v>
      </c>
      <c r="M100" s="8" t="s">
        <v>30</v>
      </c>
      <c r="N100" s="8" t="n">
        <f aca="false">IF(OR($L100="",$M100="",$O100=""),"",IF($L100="S1",8,IF($L100="S2",4,IF($L100="S3",2,1)))*IF($M100="High",3,IF($M100="Medium",2,1))/IF($O100="S",1,IF($O100="M",2,3)))</f>
        <v>2</v>
      </c>
      <c r="O100" s="8" t="s">
        <v>33</v>
      </c>
      <c r="P100" s="8" t="s">
        <v>981</v>
      </c>
      <c r="Q100" s="8" t="s">
        <v>976</v>
      </c>
      <c r="R100" s="8" t="s">
        <v>982</v>
      </c>
      <c r="S100" s="8"/>
      <c r="T100" s="8"/>
    </row>
    <row r="101" customFormat="false" ht="15" hidden="false" customHeight="true" outlineLevel="0" collapsed="false">
      <c r="A101" s="8" t="s">
        <v>983</v>
      </c>
      <c r="B101" s="8" t="s">
        <v>83</v>
      </c>
      <c r="C101" s="8" t="s">
        <v>302</v>
      </c>
      <c r="D101" s="8" t="s">
        <v>46</v>
      </c>
      <c r="E101" s="8" t="s">
        <v>303</v>
      </c>
      <c r="F101" s="8" t="s">
        <v>984</v>
      </c>
      <c r="G101" s="8" t="s">
        <v>985</v>
      </c>
      <c r="H101" s="8" t="s">
        <v>127</v>
      </c>
      <c r="I101" s="8" t="s">
        <v>986</v>
      </c>
      <c r="J101" s="8" t="s">
        <v>987</v>
      </c>
      <c r="K101" s="8" t="s">
        <v>988</v>
      </c>
      <c r="L101" s="8" t="s">
        <v>18</v>
      </c>
      <c r="M101" s="8" t="s">
        <v>28</v>
      </c>
      <c r="N101" s="8" t="n">
        <f aca="false">IF(OR($L101="",$M101="",$O101=""),"",IF($L101="S1",8,IF($L101="S2",4,IF($L101="S3",2,1)))*IF($M101="High",3,IF($M101="Medium",2,1))/IF($O101="S",1,IF($O101="M",2,3)))</f>
        <v>2</v>
      </c>
      <c r="O101" s="8" t="s">
        <v>35</v>
      </c>
      <c r="P101" s="8" t="s">
        <v>989</v>
      </c>
      <c r="Q101" s="8" t="s">
        <v>984</v>
      </c>
      <c r="R101" s="8" t="s">
        <v>990</v>
      </c>
      <c r="S101" s="8"/>
      <c r="T101" s="8"/>
    </row>
    <row r="102" customFormat="false" ht="15" hidden="false" customHeight="true" outlineLevel="0" collapsed="false">
      <c r="A102" s="8"/>
      <c r="B102" s="8"/>
      <c r="C102" s="8"/>
      <c r="D102" s="8"/>
      <c r="E102" s="8"/>
      <c r="F102" s="8"/>
      <c r="G102" s="8"/>
      <c r="H102" s="8"/>
      <c r="I102" s="8"/>
      <c r="J102" s="8"/>
      <c r="K102" s="8"/>
      <c r="L102" s="8"/>
      <c r="M102" s="8"/>
      <c r="N102" s="8" t="str">
        <f aca="false">IF(OR($L102="",$M102="",$O102=""),"",IF($L102="S1",8,IF($L102="S2",4,IF($L102="S3",2,1)))*IF($M102="High",3,IF($M102="Medium",2,1))/IF($O102="S",1,IF($O102="M",2,3)))</f>
        <v/>
      </c>
      <c r="O102" s="8"/>
      <c r="P102" s="8"/>
      <c r="Q102" s="8"/>
      <c r="R102" s="8"/>
      <c r="S102" s="8"/>
      <c r="T102" s="8"/>
    </row>
    <row r="103" customFormat="false" ht="15" hidden="false" customHeight="true" outlineLevel="0" collapsed="false">
      <c r="A103" s="8"/>
      <c r="B103" s="8"/>
      <c r="C103" s="8"/>
      <c r="D103" s="8"/>
      <c r="E103" s="8"/>
      <c r="F103" s="8"/>
      <c r="G103" s="8"/>
      <c r="H103" s="8"/>
      <c r="I103" s="8"/>
      <c r="J103" s="8"/>
      <c r="K103" s="8"/>
      <c r="L103" s="8"/>
      <c r="M103" s="8"/>
      <c r="N103" s="8" t="str">
        <f aca="false">IF(OR($L103="",$M103="",$O103=""),"",IF($L103="S1",8,IF($L103="S2",4,IF($L103="S3",2,1)))*IF($M103="High",3,IF($M103="Medium",2,1))/IF($O103="S",1,IF($O103="M",2,3)))</f>
        <v/>
      </c>
      <c r="O103" s="8"/>
      <c r="P103" s="8"/>
      <c r="Q103" s="8"/>
      <c r="R103" s="8"/>
      <c r="S103" s="8"/>
      <c r="T103" s="8"/>
    </row>
    <row r="104" customFormat="false" ht="15" hidden="false" customHeight="true" outlineLevel="0" collapsed="false">
      <c r="A104" s="8"/>
      <c r="B104" s="8"/>
      <c r="C104" s="8"/>
      <c r="D104" s="8"/>
      <c r="E104" s="8"/>
      <c r="F104" s="8"/>
      <c r="G104" s="8"/>
      <c r="H104" s="8"/>
      <c r="I104" s="8"/>
      <c r="J104" s="8"/>
      <c r="K104" s="8"/>
      <c r="L104" s="8"/>
      <c r="M104" s="8"/>
      <c r="N104" s="8" t="str">
        <f aca="false">IF(OR($L104="",$M104="",$O104=""),"",IF($L104="S1",8,IF($L104="S2",4,IF($L104="S3",2,1)))*IF($M104="High",3,IF($M104="Medium",2,1))/IF($O104="S",1,IF($O104="M",2,3)))</f>
        <v/>
      </c>
      <c r="O104" s="8"/>
      <c r="P104" s="8"/>
      <c r="Q104" s="8"/>
      <c r="R104" s="8"/>
      <c r="S104" s="8"/>
      <c r="T104" s="8"/>
    </row>
    <row r="105" customFormat="false" ht="15" hidden="false" customHeight="true" outlineLevel="0" collapsed="false">
      <c r="A105" s="8"/>
      <c r="B105" s="8"/>
      <c r="C105" s="8"/>
      <c r="D105" s="8"/>
      <c r="E105" s="8"/>
      <c r="F105" s="8"/>
      <c r="G105" s="8"/>
      <c r="H105" s="8"/>
      <c r="I105" s="8"/>
      <c r="J105" s="8"/>
      <c r="K105" s="8"/>
      <c r="L105" s="8"/>
      <c r="M105" s="8"/>
      <c r="N105" s="8" t="str">
        <f aca="false">IF(OR($L105="",$M105="",$O105=""),"",IF($L105="S1",8,IF($L105="S2",4,IF($L105="S3",2,1)))*IF($M105="High",3,IF($M105="Medium",2,1))/IF($O105="S",1,IF($O105="M",2,3)))</f>
        <v/>
      </c>
      <c r="O105" s="8"/>
      <c r="P105" s="8"/>
      <c r="Q105" s="8"/>
      <c r="R105" s="8"/>
      <c r="S105" s="8"/>
      <c r="T105" s="8"/>
    </row>
    <row r="106" customFormat="false" ht="15" hidden="false" customHeight="true" outlineLevel="0" collapsed="false">
      <c r="A106" s="8"/>
      <c r="B106" s="8"/>
      <c r="C106" s="8"/>
      <c r="D106" s="8"/>
      <c r="E106" s="8"/>
      <c r="F106" s="8"/>
      <c r="G106" s="8"/>
      <c r="H106" s="8"/>
      <c r="I106" s="8"/>
      <c r="J106" s="8"/>
      <c r="K106" s="8"/>
      <c r="L106" s="8"/>
      <c r="M106" s="8"/>
      <c r="N106" s="8" t="str">
        <f aca="false">IF(OR($L106="",$M106="",$O106=""),"",IF($L106="S1",8,IF($L106="S2",4,IF($L106="S3",2,1)))*IF($M106="High",3,IF($M106="Medium",2,1))/IF($O106="S",1,IF($O106="M",2,3)))</f>
        <v/>
      </c>
      <c r="O106" s="8"/>
      <c r="P106" s="8"/>
      <c r="Q106" s="8"/>
      <c r="R106" s="8"/>
      <c r="S106" s="8"/>
      <c r="T106" s="8"/>
    </row>
    <row r="107" customFormat="false" ht="15" hidden="false" customHeight="true" outlineLevel="0" collapsed="false">
      <c r="A107" s="8"/>
      <c r="B107" s="8"/>
      <c r="C107" s="8"/>
      <c r="D107" s="8"/>
      <c r="E107" s="8"/>
      <c r="F107" s="8"/>
      <c r="G107" s="8"/>
      <c r="H107" s="8"/>
      <c r="I107" s="8"/>
      <c r="J107" s="8"/>
      <c r="K107" s="8"/>
      <c r="L107" s="8"/>
      <c r="M107" s="8"/>
      <c r="N107" s="8" t="str">
        <f aca="false">IF(OR($L107="",$M107="",$O107=""),"",IF($L107="S1",8,IF($L107="S2",4,IF($L107="S3",2,1)))*IF($M107="High",3,IF($M107="Medium",2,1))/IF($O107="S",1,IF($O107="M",2,3)))</f>
        <v/>
      </c>
      <c r="O107" s="8"/>
      <c r="P107" s="8"/>
      <c r="Q107" s="8"/>
      <c r="R107" s="8"/>
      <c r="S107" s="8"/>
      <c r="T107" s="8"/>
    </row>
    <row r="108" customFormat="false" ht="15" hidden="false" customHeight="true" outlineLevel="0" collapsed="false">
      <c r="A108" s="8"/>
      <c r="B108" s="8"/>
      <c r="C108" s="8"/>
      <c r="D108" s="8"/>
      <c r="E108" s="8"/>
      <c r="F108" s="8"/>
      <c r="G108" s="8"/>
      <c r="H108" s="8"/>
      <c r="I108" s="8"/>
      <c r="J108" s="8"/>
      <c r="K108" s="8"/>
      <c r="L108" s="8"/>
      <c r="M108" s="8"/>
      <c r="N108" s="8" t="str">
        <f aca="false">IF(OR($L108="",$M108="",$O108=""),"",IF($L108="S1",8,IF($L108="S2",4,IF($L108="S3",2,1)))*IF($M108="High",3,IF($M108="Medium",2,1))/IF($O108="S",1,IF($O108="M",2,3)))</f>
        <v/>
      </c>
      <c r="O108" s="8"/>
      <c r="P108" s="8"/>
      <c r="Q108" s="8"/>
      <c r="R108" s="8"/>
      <c r="S108" s="8"/>
      <c r="T108" s="8"/>
    </row>
    <row r="109" customFormat="false" ht="15" hidden="false" customHeight="true" outlineLevel="0" collapsed="false">
      <c r="A109" s="8"/>
      <c r="B109" s="8"/>
      <c r="C109" s="8"/>
      <c r="D109" s="8"/>
      <c r="E109" s="8"/>
      <c r="F109" s="8"/>
      <c r="G109" s="8"/>
      <c r="H109" s="8"/>
      <c r="I109" s="8"/>
      <c r="J109" s="8"/>
      <c r="K109" s="8"/>
      <c r="L109" s="8"/>
      <c r="M109" s="8"/>
      <c r="N109" s="8" t="str">
        <f aca="false">IF(OR($L109="",$M109="",$O109=""),"",IF($L109="S1",8,IF($L109="S2",4,IF($L109="S3",2,1)))*IF($M109="High",3,IF($M109="Medium",2,1))/IF($O109="S",1,IF($O109="M",2,3)))</f>
        <v/>
      </c>
      <c r="O109" s="8"/>
      <c r="P109" s="8"/>
      <c r="Q109" s="8"/>
      <c r="R109" s="8"/>
      <c r="S109" s="8"/>
      <c r="T109" s="8"/>
    </row>
    <row r="110" customFormat="false" ht="15" hidden="false" customHeight="true" outlineLevel="0" collapsed="false">
      <c r="A110" s="8"/>
      <c r="B110" s="8"/>
      <c r="C110" s="8"/>
      <c r="D110" s="8"/>
      <c r="E110" s="8"/>
      <c r="F110" s="8"/>
      <c r="G110" s="8"/>
      <c r="H110" s="8"/>
      <c r="I110" s="8"/>
      <c r="J110" s="8"/>
      <c r="K110" s="8"/>
      <c r="L110" s="8"/>
      <c r="M110" s="8"/>
      <c r="N110" s="8" t="str">
        <f aca="false">IF(OR($L110="",$M110="",$O110=""),"",IF($L110="S1",8,IF($L110="S2",4,IF($L110="S3",2,1)))*IF($M110="High",3,IF($M110="Medium",2,1))/IF($O110="S",1,IF($O110="M",2,3)))</f>
        <v/>
      </c>
      <c r="O110" s="8"/>
      <c r="P110" s="8"/>
      <c r="Q110" s="8"/>
      <c r="R110" s="8"/>
      <c r="S110" s="8"/>
      <c r="T110" s="8"/>
    </row>
    <row r="111" customFormat="false" ht="15" hidden="false" customHeight="true" outlineLevel="0" collapsed="false">
      <c r="A111" s="8"/>
      <c r="B111" s="8"/>
      <c r="C111" s="8"/>
      <c r="D111" s="8"/>
      <c r="E111" s="8"/>
      <c r="F111" s="8"/>
      <c r="G111" s="8"/>
      <c r="H111" s="8"/>
      <c r="I111" s="8"/>
      <c r="J111" s="8"/>
      <c r="K111" s="8"/>
      <c r="L111" s="8"/>
      <c r="M111" s="8"/>
      <c r="N111" s="8" t="str">
        <f aca="false">IF(OR($L111="",$M111="",$O111=""),"",IF($L111="S1",8,IF($L111="S2",4,IF($L111="S3",2,1)))*IF($M111="High",3,IF($M111="Medium",2,1))/IF($O111="S",1,IF($O111="M",2,3)))</f>
        <v/>
      </c>
      <c r="O111" s="8"/>
      <c r="P111" s="8"/>
      <c r="Q111" s="8"/>
      <c r="R111" s="8"/>
      <c r="S111" s="8"/>
      <c r="T111" s="8"/>
    </row>
    <row r="112" customFormat="false" ht="15" hidden="false" customHeight="true" outlineLevel="0" collapsed="false">
      <c r="A112" s="8"/>
      <c r="B112" s="8"/>
      <c r="C112" s="8"/>
      <c r="D112" s="8"/>
      <c r="E112" s="8"/>
      <c r="F112" s="8"/>
      <c r="G112" s="8"/>
      <c r="H112" s="8"/>
      <c r="I112" s="8"/>
      <c r="J112" s="8"/>
      <c r="K112" s="8"/>
      <c r="L112" s="8"/>
      <c r="M112" s="8"/>
      <c r="N112" s="8" t="str">
        <f aca="false">IF(OR($L112="",$M112="",$O112=""),"",IF($L112="S1",8,IF($L112="S2",4,IF($L112="S3",2,1)))*IF($M112="High",3,IF($M112="Medium",2,1))/IF($O112="S",1,IF($O112="M",2,3)))</f>
        <v/>
      </c>
      <c r="O112" s="8"/>
      <c r="P112" s="8"/>
      <c r="Q112" s="8"/>
      <c r="R112" s="8"/>
      <c r="S112" s="8"/>
      <c r="T112" s="8"/>
    </row>
    <row r="113" customFormat="false" ht="15" hidden="false" customHeight="true" outlineLevel="0" collapsed="false">
      <c r="A113" s="8"/>
      <c r="B113" s="8"/>
      <c r="C113" s="8"/>
      <c r="D113" s="8"/>
      <c r="E113" s="8"/>
      <c r="F113" s="8"/>
      <c r="G113" s="8"/>
      <c r="H113" s="8"/>
      <c r="I113" s="8"/>
      <c r="J113" s="8"/>
      <c r="K113" s="8"/>
      <c r="L113" s="8"/>
      <c r="M113" s="8"/>
      <c r="N113" s="8" t="str">
        <f aca="false">IF(OR($L113="",$M113="",$O113=""),"",IF($L113="S1",8,IF($L113="S2",4,IF($L113="S3",2,1)))*IF($M113="High",3,IF($M113="Medium",2,1))/IF($O113="S",1,IF($O113="M",2,3)))</f>
        <v/>
      </c>
      <c r="O113" s="8"/>
      <c r="P113" s="8"/>
      <c r="Q113" s="8"/>
      <c r="R113" s="8"/>
      <c r="S113" s="8"/>
      <c r="T113" s="8"/>
    </row>
    <row r="114" customFormat="false" ht="15" hidden="false" customHeight="true" outlineLevel="0" collapsed="false">
      <c r="A114" s="8"/>
      <c r="B114" s="8"/>
      <c r="C114" s="8"/>
      <c r="D114" s="8"/>
      <c r="E114" s="8"/>
      <c r="F114" s="8"/>
      <c r="G114" s="8"/>
      <c r="H114" s="8"/>
      <c r="I114" s="8"/>
      <c r="J114" s="8"/>
      <c r="K114" s="8"/>
      <c r="L114" s="8"/>
      <c r="M114" s="8"/>
      <c r="N114" s="8" t="str">
        <f aca="false">IF(OR($L114="",$M114="",$O114=""),"",IF($L114="S1",8,IF($L114="S2",4,IF($L114="S3",2,1)))*IF($M114="High",3,IF($M114="Medium",2,1))/IF($O114="S",1,IF($O114="M",2,3)))</f>
        <v/>
      </c>
      <c r="O114" s="8"/>
      <c r="P114" s="8"/>
      <c r="Q114" s="8"/>
      <c r="R114" s="8"/>
      <c r="S114" s="8"/>
      <c r="T114" s="8"/>
    </row>
    <row r="115" customFormat="false" ht="15" hidden="false" customHeight="true" outlineLevel="0" collapsed="false">
      <c r="A115" s="8"/>
      <c r="B115" s="8"/>
      <c r="C115" s="8"/>
      <c r="D115" s="8"/>
      <c r="E115" s="8"/>
      <c r="F115" s="8"/>
      <c r="G115" s="8"/>
      <c r="H115" s="8"/>
      <c r="I115" s="8"/>
      <c r="J115" s="8"/>
      <c r="K115" s="8"/>
      <c r="L115" s="8"/>
      <c r="M115" s="8"/>
      <c r="N115" s="8" t="str">
        <f aca="false">IF(OR($L115="",$M115="",$O115=""),"",IF($L115="S1",8,IF($L115="S2",4,IF($L115="S3",2,1)))*IF($M115="High",3,IF($M115="Medium",2,1))/IF($O115="S",1,IF($O115="M",2,3)))</f>
        <v/>
      </c>
      <c r="O115" s="8"/>
      <c r="P115" s="8"/>
      <c r="Q115" s="8"/>
      <c r="R115" s="8"/>
      <c r="S115" s="8"/>
      <c r="T115" s="8"/>
    </row>
    <row r="116" customFormat="false" ht="15" hidden="false" customHeight="true" outlineLevel="0" collapsed="false">
      <c r="A116" s="8"/>
      <c r="B116" s="8"/>
      <c r="C116" s="8"/>
      <c r="D116" s="8"/>
      <c r="E116" s="8"/>
      <c r="F116" s="8"/>
      <c r="G116" s="8"/>
      <c r="H116" s="8"/>
      <c r="I116" s="8"/>
      <c r="J116" s="8"/>
      <c r="K116" s="8"/>
      <c r="L116" s="8"/>
      <c r="M116" s="8"/>
      <c r="N116" s="8" t="str">
        <f aca="false">IF(OR($L116="",$M116="",$O116=""),"",IF($L116="S1",8,IF($L116="S2",4,IF($L116="S3",2,1)))*IF($M116="High",3,IF($M116="Medium",2,1))/IF($O116="S",1,IF($O116="M",2,3)))</f>
        <v/>
      </c>
      <c r="O116" s="8"/>
      <c r="P116" s="8"/>
      <c r="Q116" s="8"/>
      <c r="R116" s="8"/>
      <c r="S116" s="8"/>
      <c r="T116" s="8"/>
    </row>
    <row r="117" customFormat="false" ht="15" hidden="false" customHeight="true" outlineLevel="0" collapsed="false">
      <c r="A117" s="8"/>
      <c r="B117" s="8"/>
      <c r="C117" s="8"/>
      <c r="D117" s="8"/>
      <c r="E117" s="8"/>
      <c r="F117" s="8"/>
      <c r="G117" s="8"/>
      <c r="H117" s="8"/>
      <c r="I117" s="8"/>
      <c r="J117" s="8"/>
      <c r="K117" s="8"/>
      <c r="L117" s="8"/>
      <c r="M117" s="8"/>
      <c r="N117" s="8" t="str">
        <f aca="false">IF(OR($L117="",$M117="",$O117=""),"",IF($L117="S1",8,IF($L117="S2",4,IF($L117="S3",2,1)))*IF($M117="High",3,IF($M117="Medium",2,1))/IF($O117="S",1,IF($O117="M",2,3)))</f>
        <v/>
      </c>
      <c r="O117" s="8"/>
      <c r="P117" s="8"/>
      <c r="Q117" s="8"/>
      <c r="R117" s="8"/>
      <c r="S117" s="8"/>
      <c r="T117" s="8"/>
    </row>
    <row r="118" customFormat="false" ht="15" hidden="false" customHeight="true" outlineLevel="0" collapsed="false">
      <c r="A118" s="8"/>
      <c r="B118" s="8"/>
      <c r="C118" s="8"/>
      <c r="D118" s="8"/>
      <c r="E118" s="8"/>
      <c r="F118" s="8"/>
      <c r="G118" s="8"/>
      <c r="H118" s="8"/>
      <c r="I118" s="8"/>
      <c r="J118" s="8"/>
      <c r="K118" s="8"/>
      <c r="L118" s="8"/>
      <c r="M118" s="8"/>
      <c r="N118" s="8" t="str">
        <f aca="false">IF(OR($L118="",$M118="",$O118=""),"",IF($L118="S1",8,IF($L118="S2",4,IF($L118="S3",2,1)))*IF($M118="High",3,IF($M118="Medium",2,1))/IF($O118="S",1,IF($O118="M",2,3)))</f>
        <v/>
      </c>
      <c r="O118" s="8"/>
      <c r="P118" s="8"/>
      <c r="Q118" s="8"/>
      <c r="R118" s="8"/>
      <c r="S118" s="8"/>
      <c r="T118" s="8"/>
    </row>
    <row r="119" customFormat="false" ht="15" hidden="false" customHeight="true" outlineLevel="0" collapsed="false">
      <c r="A119" s="8"/>
      <c r="B119" s="8"/>
      <c r="C119" s="8"/>
      <c r="D119" s="8"/>
      <c r="E119" s="8"/>
      <c r="F119" s="8"/>
      <c r="G119" s="8"/>
      <c r="H119" s="8"/>
      <c r="I119" s="8"/>
      <c r="J119" s="8"/>
      <c r="K119" s="8"/>
      <c r="L119" s="8"/>
      <c r="M119" s="8"/>
      <c r="N119" s="8" t="str">
        <f aca="false">IF(OR($L119="",$M119="",$O119=""),"",IF($L119="S1",8,IF($L119="S2",4,IF($L119="S3",2,1)))*IF($M119="High",3,IF($M119="Medium",2,1))/IF($O119="S",1,IF($O119="M",2,3)))</f>
        <v/>
      </c>
      <c r="O119" s="8"/>
      <c r="P119" s="8"/>
      <c r="Q119" s="8"/>
      <c r="R119" s="8"/>
      <c r="S119" s="8"/>
      <c r="T119" s="8"/>
    </row>
    <row r="120" customFormat="false" ht="15" hidden="false" customHeight="true" outlineLevel="0" collapsed="false">
      <c r="A120" s="8"/>
      <c r="B120" s="8"/>
      <c r="C120" s="8"/>
      <c r="D120" s="8"/>
      <c r="E120" s="8"/>
      <c r="F120" s="8"/>
      <c r="G120" s="8"/>
      <c r="H120" s="8"/>
      <c r="I120" s="8"/>
      <c r="J120" s="8"/>
      <c r="K120" s="8"/>
      <c r="L120" s="8"/>
      <c r="M120" s="8"/>
      <c r="N120" s="8" t="str">
        <f aca="false">IF(OR($L120="",$M120="",$O120=""),"",IF($L120="S1",8,IF($L120="S2",4,IF($L120="S3",2,1)))*IF($M120="High",3,IF($M120="Medium",2,1))/IF($O120="S",1,IF($O120="M",2,3)))</f>
        <v/>
      </c>
      <c r="O120" s="8"/>
      <c r="P120" s="8"/>
      <c r="Q120" s="8"/>
      <c r="R120" s="8"/>
      <c r="S120" s="8"/>
      <c r="T120" s="8"/>
    </row>
    <row r="121" customFormat="false" ht="15" hidden="false" customHeight="true" outlineLevel="0" collapsed="false">
      <c r="A121" s="8"/>
      <c r="B121" s="8"/>
      <c r="C121" s="8"/>
      <c r="D121" s="8"/>
      <c r="E121" s="8"/>
      <c r="F121" s="8"/>
      <c r="G121" s="8"/>
      <c r="H121" s="8"/>
      <c r="I121" s="8"/>
      <c r="J121" s="8"/>
      <c r="K121" s="8"/>
      <c r="L121" s="8"/>
      <c r="M121" s="8"/>
      <c r="N121" s="8" t="str">
        <f aca="false">IF(OR($L121="",$M121="",$O121=""),"",IF($L121="S1",8,IF($L121="S2",4,IF($L121="S3",2,1)))*IF($M121="High",3,IF($M121="Medium",2,1))/IF($O121="S",1,IF($O121="M",2,3)))</f>
        <v/>
      </c>
      <c r="O121" s="8"/>
      <c r="P121" s="8"/>
      <c r="Q121" s="8"/>
      <c r="R121" s="8"/>
      <c r="S121" s="8"/>
      <c r="T121" s="8"/>
    </row>
    <row r="122" customFormat="false" ht="15" hidden="false" customHeight="true" outlineLevel="0" collapsed="false">
      <c r="A122" s="8"/>
      <c r="B122" s="8"/>
      <c r="C122" s="8"/>
      <c r="D122" s="8"/>
      <c r="E122" s="8"/>
      <c r="F122" s="8"/>
      <c r="G122" s="8"/>
      <c r="H122" s="8"/>
      <c r="I122" s="8"/>
      <c r="J122" s="8"/>
      <c r="K122" s="8"/>
      <c r="L122" s="8"/>
      <c r="M122" s="8"/>
      <c r="N122" s="8" t="str">
        <f aca="false">IF(OR($L122="",$M122="",$O122=""),"",IF($L122="S1",8,IF($L122="S2",4,IF($L122="S3",2,1)))*IF($M122="High",3,IF($M122="Medium",2,1))/IF($O122="S",1,IF($O122="M",2,3)))</f>
        <v/>
      </c>
      <c r="O122" s="8"/>
      <c r="P122" s="8"/>
      <c r="Q122" s="8"/>
      <c r="R122" s="8"/>
      <c r="S122" s="8"/>
      <c r="T122" s="8"/>
    </row>
    <row r="123" customFormat="false" ht="15" hidden="false" customHeight="true" outlineLevel="0" collapsed="false">
      <c r="A123" s="8"/>
      <c r="B123" s="8"/>
      <c r="C123" s="8"/>
      <c r="D123" s="8"/>
      <c r="E123" s="8"/>
      <c r="F123" s="8"/>
      <c r="G123" s="8"/>
      <c r="H123" s="8"/>
      <c r="I123" s="8"/>
      <c r="J123" s="8"/>
      <c r="K123" s="8"/>
      <c r="L123" s="8"/>
      <c r="M123" s="8"/>
      <c r="N123" s="8" t="str">
        <f aca="false">IF(OR($L123="",$M123="",$O123=""),"",IF($L123="S1",8,IF($L123="S2",4,IF($L123="S3",2,1)))*IF($M123="High",3,IF($M123="Medium",2,1))/IF($O123="S",1,IF($O123="M",2,3)))</f>
        <v/>
      </c>
      <c r="O123" s="8"/>
      <c r="P123" s="8"/>
      <c r="Q123" s="8"/>
      <c r="R123" s="8"/>
      <c r="S123" s="8"/>
      <c r="T123" s="8"/>
    </row>
    <row r="124" customFormat="false" ht="15" hidden="false" customHeight="true" outlineLevel="0" collapsed="false">
      <c r="A124" s="8"/>
      <c r="B124" s="8"/>
      <c r="C124" s="8"/>
      <c r="D124" s="8"/>
      <c r="E124" s="8"/>
      <c r="F124" s="8"/>
      <c r="G124" s="8"/>
      <c r="H124" s="8"/>
      <c r="I124" s="8"/>
      <c r="J124" s="8"/>
      <c r="K124" s="8"/>
      <c r="L124" s="8"/>
      <c r="M124" s="8"/>
      <c r="N124" s="8" t="str">
        <f aca="false">IF(OR($L124="",$M124="",$O124=""),"",IF($L124="S1",8,IF($L124="S2",4,IF($L124="S3",2,1)))*IF($M124="High",3,IF($M124="Medium",2,1))/IF($O124="S",1,IF($O124="M",2,3)))</f>
        <v/>
      </c>
      <c r="O124" s="8"/>
      <c r="P124" s="8"/>
      <c r="Q124" s="8"/>
      <c r="R124" s="8"/>
      <c r="S124" s="8"/>
      <c r="T124" s="8"/>
    </row>
    <row r="125" customFormat="false" ht="15" hidden="false" customHeight="true" outlineLevel="0" collapsed="false">
      <c r="A125" s="8"/>
      <c r="B125" s="8"/>
      <c r="C125" s="8"/>
      <c r="D125" s="8"/>
      <c r="E125" s="8"/>
      <c r="F125" s="8"/>
      <c r="G125" s="8"/>
      <c r="H125" s="8"/>
      <c r="I125" s="8"/>
      <c r="J125" s="8"/>
      <c r="K125" s="8"/>
      <c r="L125" s="8"/>
      <c r="M125" s="8"/>
      <c r="N125" s="8" t="str">
        <f aca="false">IF(OR($L125="",$M125="",$O125=""),"",IF($L125="S1",8,IF($L125="S2",4,IF($L125="S3",2,1)))*IF($M125="High",3,IF($M125="Medium",2,1))/IF($O125="S",1,IF($O125="M",2,3)))</f>
        <v/>
      </c>
      <c r="O125" s="8"/>
      <c r="P125" s="8"/>
      <c r="Q125" s="8"/>
      <c r="R125" s="8"/>
      <c r="S125" s="8"/>
      <c r="T125" s="8"/>
    </row>
    <row r="126" customFormat="false" ht="15" hidden="false" customHeight="true" outlineLevel="0" collapsed="false">
      <c r="A126" s="8"/>
      <c r="B126" s="8"/>
      <c r="C126" s="8"/>
      <c r="D126" s="8"/>
      <c r="E126" s="8"/>
      <c r="F126" s="8"/>
      <c r="G126" s="8"/>
      <c r="H126" s="8"/>
      <c r="I126" s="8"/>
      <c r="J126" s="8"/>
      <c r="K126" s="8"/>
      <c r="L126" s="8"/>
      <c r="M126" s="8"/>
      <c r="N126" s="8" t="str">
        <f aca="false">IF(OR($L126="",$M126="",$O126=""),"",IF($L126="S1",8,IF($L126="S2",4,IF($L126="S3",2,1)))*IF($M126="High",3,IF($M126="Medium",2,1))/IF($O126="S",1,IF($O126="M",2,3)))</f>
        <v/>
      </c>
      <c r="O126" s="8"/>
      <c r="P126" s="8"/>
      <c r="Q126" s="8"/>
      <c r="R126" s="8"/>
      <c r="S126" s="8"/>
      <c r="T126" s="8"/>
    </row>
    <row r="127" customFormat="false" ht="15" hidden="false" customHeight="true" outlineLevel="0" collapsed="false">
      <c r="A127" s="8"/>
      <c r="B127" s="8"/>
      <c r="C127" s="8"/>
      <c r="D127" s="8"/>
      <c r="E127" s="8"/>
      <c r="F127" s="8"/>
      <c r="G127" s="8"/>
      <c r="H127" s="8"/>
      <c r="I127" s="8"/>
      <c r="J127" s="8"/>
      <c r="K127" s="8"/>
      <c r="L127" s="8"/>
      <c r="M127" s="8"/>
      <c r="N127" s="8" t="str">
        <f aca="false">IF(OR($L127="",$M127="",$O127=""),"",IF($L127="S1",8,IF($L127="S2",4,IF($L127="S3",2,1)))*IF($M127="High",3,IF($M127="Medium",2,1))/IF($O127="S",1,IF($O127="M",2,3)))</f>
        <v/>
      </c>
      <c r="O127" s="8"/>
      <c r="P127" s="8"/>
      <c r="Q127" s="8"/>
      <c r="R127" s="8"/>
      <c r="S127" s="8"/>
      <c r="T127" s="8"/>
    </row>
    <row r="128" customFormat="false" ht="15" hidden="false" customHeight="true" outlineLevel="0" collapsed="false">
      <c r="A128" s="8"/>
      <c r="B128" s="8"/>
      <c r="C128" s="8"/>
      <c r="D128" s="8"/>
      <c r="E128" s="8"/>
      <c r="F128" s="8"/>
      <c r="G128" s="8"/>
      <c r="H128" s="8"/>
      <c r="I128" s="8"/>
      <c r="J128" s="8"/>
      <c r="K128" s="8"/>
      <c r="L128" s="8"/>
      <c r="M128" s="8"/>
      <c r="N128" s="8" t="str">
        <f aca="false">IF(OR($L128="",$M128="",$O128=""),"",IF($L128="S1",8,IF($L128="S2",4,IF($L128="S3",2,1)))*IF($M128="High",3,IF($M128="Medium",2,1))/IF($O128="S",1,IF($O128="M",2,3)))</f>
        <v/>
      </c>
      <c r="O128" s="8"/>
      <c r="P128" s="8"/>
      <c r="Q128" s="8"/>
      <c r="R128" s="8"/>
      <c r="S128" s="8"/>
      <c r="T128" s="8"/>
    </row>
    <row r="129" customFormat="false" ht="15" hidden="false" customHeight="true" outlineLevel="0" collapsed="false">
      <c r="A129" s="8"/>
      <c r="B129" s="8"/>
      <c r="C129" s="8"/>
      <c r="D129" s="8"/>
      <c r="E129" s="8"/>
      <c r="F129" s="8"/>
      <c r="G129" s="8"/>
      <c r="H129" s="8"/>
      <c r="I129" s="8"/>
      <c r="J129" s="8"/>
      <c r="K129" s="8"/>
      <c r="L129" s="8"/>
      <c r="M129" s="8"/>
      <c r="N129" s="8" t="str">
        <f aca="false">IF(OR($L129="",$M129="",$O129=""),"",IF($L129="S1",8,IF($L129="S2",4,IF($L129="S3",2,1)))*IF($M129="High",3,IF($M129="Medium",2,1))/IF($O129="S",1,IF($O129="M",2,3)))</f>
        <v/>
      </c>
      <c r="O129" s="8"/>
      <c r="P129" s="8"/>
      <c r="Q129" s="8"/>
      <c r="R129" s="8"/>
      <c r="S129" s="8"/>
      <c r="T129" s="8"/>
    </row>
    <row r="130" customFormat="false" ht="15" hidden="false" customHeight="true" outlineLevel="0" collapsed="false">
      <c r="A130" s="8"/>
      <c r="B130" s="8"/>
      <c r="C130" s="8"/>
      <c r="D130" s="8"/>
      <c r="E130" s="8"/>
      <c r="F130" s="8"/>
      <c r="G130" s="8"/>
      <c r="H130" s="8"/>
      <c r="I130" s="8"/>
      <c r="J130" s="8"/>
      <c r="K130" s="8"/>
      <c r="L130" s="8"/>
      <c r="M130" s="8"/>
      <c r="N130" s="8" t="str">
        <f aca="false">IF(OR($L130="",$M130="",$O130=""),"",IF($L130="S1",8,IF($L130="S2",4,IF($L130="S3",2,1)))*IF($M130="High",3,IF($M130="Medium",2,1))/IF($O130="S",1,IF($O130="M",2,3)))</f>
        <v/>
      </c>
      <c r="O130" s="8"/>
      <c r="P130" s="8"/>
      <c r="Q130" s="8"/>
      <c r="R130" s="8"/>
      <c r="S130" s="8"/>
      <c r="T130" s="8"/>
    </row>
    <row r="131" customFormat="false" ht="15" hidden="false" customHeight="true" outlineLevel="0" collapsed="false">
      <c r="A131" s="8"/>
      <c r="B131" s="8"/>
      <c r="C131" s="8"/>
      <c r="D131" s="8"/>
      <c r="E131" s="8"/>
      <c r="F131" s="8"/>
      <c r="G131" s="8"/>
      <c r="H131" s="8"/>
      <c r="I131" s="8"/>
      <c r="J131" s="8"/>
      <c r="K131" s="8"/>
      <c r="L131" s="8"/>
      <c r="M131" s="8"/>
      <c r="N131" s="8" t="str">
        <f aca="false">IF(OR($L131="",$M131="",$O131=""),"",IF($L131="S1",8,IF($L131="S2",4,IF($L131="S3",2,1)))*IF($M131="High",3,IF($M131="Medium",2,1))/IF($O131="S",1,IF($O131="M",2,3)))</f>
        <v/>
      </c>
      <c r="O131" s="8"/>
      <c r="P131" s="8"/>
      <c r="Q131" s="8"/>
      <c r="R131" s="8"/>
      <c r="S131" s="8"/>
      <c r="T131" s="8"/>
    </row>
    <row r="132" customFormat="false" ht="15" hidden="false" customHeight="true" outlineLevel="0" collapsed="false">
      <c r="A132" s="8"/>
      <c r="B132" s="8"/>
      <c r="C132" s="8"/>
      <c r="D132" s="8"/>
      <c r="E132" s="8"/>
      <c r="F132" s="8"/>
      <c r="G132" s="8"/>
      <c r="H132" s="8"/>
      <c r="I132" s="8"/>
      <c r="J132" s="8"/>
      <c r="K132" s="8"/>
      <c r="L132" s="8"/>
      <c r="M132" s="8"/>
      <c r="N132" s="8" t="str">
        <f aca="false">IF(OR($L132="",$M132="",$O132=""),"",IF($L132="S1",8,IF($L132="S2",4,IF($L132="S3",2,1)))*IF($M132="High",3,IF($M132="Medium",2,1))/IF($O132="S",1,IF($O132="M",2,3)))</f>
        <v/>
      </c>
      <c r="O132" s="8"/>
      <c r="P132" s="8"/>
      <c r="Q132" s="8"/>
      <c r="R132" s="8"/>
      <c r="S132" s="8"/>
      <c r="T132" s="8"/>
    </row>
    <row r="133" customFormat="false" ht="15" hidden="false" customHeight="true" outlineLevel="0" collapsed="false">
      <c r="A133" s="8"/>
      <c r="B133" s="8"/>
      <c r="C133" s="8"/>
      <c r="D133" s="8"/>
      <c r="E133" s="8"/>
      <c r="F133" s="8"/>
      <c r="G133" s="8"/>
      <c r="H133" s="8"/>
      <c r="I133" s="8"/>
      <c r="J133" s="8"/>
      <c r="K133" s="8"/>
      <c r="L133" s="8"/>
      <c r="M133" s="8"/>
      <c r="N133" s="8" t="str">
        <f aca="false">IF(OR($L133="",$M133="",$O133=""),"",IF($L133="S1",8,IF($L133="S2",4,IF($L133="S3",2,1)))*IF($M133="High",3,IF($M133="Medium",2,1))/IF($O133="S",1,IF($O133="M",2,3)))</f>
        <v/>
      </c>
      <c r="O133" s="8"/>
      <c r="P133" s="8"/>
      <c r="Q133" s="8"/>
      <c r="R133" s="8"/>
      <c r="S133" s="8"/>
      <c r="T133" s="8"/>
    </row>
    <row r="134" customFormat="false" ht="15" hidden="false" customHeight="true" outlineLevel="0" collapsed="false">
      <c r="A134" s="8"/>
      <c r="B134" s="8"/>
      <c r="C134" s="8"/>
      <c r="D134" s="8"/>
      <c r="E134" s="8"/>
      <c r="F134" s="8"/>
      <c r="G134" s="8"/>
      <c r="H134" s="8"/>
      <c r="I134" s="8"/>
      <c r="J134" s="8"/>
      <c r="K134" s="8"/>
      <c r="L134" s="8"/>
      <c r="M134" s="8"/>
      <c r="N134" s="8" t="str">
        <f aca="false">IF(OR($L134="",$M134="",$O134=""),"",IF($L134="S1",8,IF($L134="S2",4,IF($L134="S3",2,1)))*IF($M134="High",3,IF($M134="Medium",2,1))/IF($O134="S",1,IF($O134="M",2,3)))</f>
        <v/>
      </c>
      <c r="O134" s="8"/>
      <c r="P134" s="8"/>
      <c r="Q134" s="8"/>
      <c r="R134" s="8"/>
      <c r="S134" s="8"/>
      <c r="T134" s="8"/>
    </row>
    <row r="135" customFormat="false" ht="15" hidden="false" customHeight="true" outlineLevel="0" collapsed="false">
      <c r="A135" s="8"/>
      <c r="B135" s="8"/>
      <c r="C135" s="8"/>
      <c r="D135" s="8"/>
      <c r="E135" s="8"/>
      <c r="F135" s="8"/>
      <c r="G135" s="8"/>
      <c r="H135" s="8"/>
      <c r="I135" s="8"/>
      <c r="J135" s="8"/>
      <c r="K135" s="8"/>
      <c r="L135" s="8"/>
      <c r="M135" s="8"/>
      <c r="N135" s="8" t="str">
        <f aca="false">IF(OR($L135="",$M135="",$O135=""),"",IF($L135="S1",8,IF($L135="S2",4,IF($L135="S3",2,1)))*IF($M135="High",3,IF($M135="Medium",2,1))/IF($O135="S",1,IF($O135="M",2,3)))</f>
        <v/>
      </c>
      <c r="O135" s="8"/>
      <c r="P135" s="8"/>
      <c r="Q135" s="8"/>
      <c r="R135" s="8"/>
      <c r="S135" s="8"/>
      <c r="T135" s="8"/>
    </row>
    <row r="136" customFormat="false" ht="15" hidden="false" customHeight="true" outlineLevel="0" collapsed="false">
      <c r="A136" s="8"/>
      <c r="B136" s="8"/>
      <c r="C136" s="8"/>
      <c r="D136" s="8"/>
      <c r="E136" s="8"/>
      <c r="F136" s="8"/>
      <c r="G136" s="8"/>
      <c r="H136" s="8"/>
      <c r="I136" s="8"/>
      <c r="J136" s="8"/>
      <c r="K136" s="8"/>
      <c r="L136" s="8"/>
      <c r="M136" s="8"/>
      <c r="N136" s="8" t="str">
        <f aca="false">IF(OR($L136="",$M136="",$O136=""),"",IF($L136="S1",8,IF($L136="S2",4,IF($L136="S3",2,1)))*IF($M136="High",3,IF($M136="Medium",2,1))/IF($O136="S",1,IF($O136="M",2,3)))</f>
        <v/>
      </c>
      <c r="O136" s="8"/>
      <c r="P136" s="8"/>
      <c r="Q136" s="8"/>
      <c r="R136" s="8"/>
      <c r="S136" s="8"/>
      <c r="T136" s="8"/>
    </row>
    <row r="137" customFormat="false" ht="15" hidden="false" customHeight="true" outlineLevel="0" collapsed="false">
      <c r="A137" s="8"/>
      <c r="B137" s="8"/>
      <c r="C137" s="8"/>
      <c r="D137" s="8"/>
      <c r="E137" s="8"/>
      <c r="F137" s="8"/>
      <c r="G137" s="8"/>
      <c r="H137" s="8"/>
      <c r="I137" s="8"/>
      <c r="J137" s="8"/>
      <c r="K137" s="8"/>
      <c r="L137" s="8"/>
      <c r="M137" s="8"/>
      <c r="N137" s="8" t="str">
        <f aca="false">IF(OR($L137="",$M137="",$O137=""),"",IF($L137="S1",8,IF($L137="S2",4,IF($L137="S3",2,1)))*IF($M137="High",3,IF($M137="Medium",2,1))/IF($O137="S",1,IF($O137="M",2,3)))</f>
        <v/>
      </c>
      <c r="O137" s="8"/>
      <c r="P137" s="8"/>
      <c r="Q137" s="8"/>
      <c r="R137" s="8"/>
      <c r="S137" s="8"/>
      <c r="T137" s="8"/>
    </row>
    <row r="138" customFormat="false" ht="15" hidden="false" customHeight="true" outlineLevel="0" collapsed="false">
      <c r="A138" s="8"/>
      <c r="B138" s="8"/>
      <c r="C138" s="8"/>
      <c r="D138" s="8"/>
      <c r="E138" s="8"/>
      <c r="F138" s="8"/>
      <c r="G138" s="8"/>
      <c r="H138" s="8"/>
      <c r="I138" s="8"/>
      <c r="J138" s="8"/>
      <c r="K138" s="8"/>
      <c r="L138" s="8"/>
      <c r="M138" s="8"/>
      <c r="N138" s="8" t="str">
        <f aca="false">IF(OR($L138="",$M138="",$O138=""),"",IF($L138="S1",8,IF($L138="S2",4,IF($L138="S3",2,1)))*IF($M138="High",3,IF($M138="Medium",2,1))/IF($O138="S",1,IF($O138="M",2,3)))</f>
        <v/>
      </c>
      <c r="O138" s="8"/>
      <c r="P138" s="8"/>
      <c r="Q138" s="8"/>
      <c r="R138" s="8"/>
      <c r="S138" s="8"/>
      <c r="T138" s="8"/>
    </row>
    <row r="139" customFormat="false" ht="15" hidden="false" customHeight="true" outlineLevel="0" collapsed="false">
      <c r="A139" s="8"/>
      <c r="B139" s="8"/>
      <c r="C139" s="8"/>
      <c r="D139" s="8"/>
      <c r="E139" s="8"/>
      <c r="F139" s="8"/>
      <c r="G139" s="8"/>
      <c r="H139" s="8"/>
      <c r="I139" s="8"/>
      <c r="J139" s="8"/>
      <c r="K139" s="8"/>
      <c r="L139" s="8"/>
      <c r="M139" s="8"/>
      <c r="N139" s="8" t="str">
        <f aca="false">IF(OR($L139="",$M139="",$O139=""),"",IF($L139="S1",8,IF($L139="S2",4,IF($L139="S3",2,1)))*IF($M139="High",3,IF($M139="Medium",2,1))/IF($O139="S",1,IF($O139="M",2,3)))</f>
        <v/>
      </c>
      <c r="O139" s="8"/>
      <c r="P139" s="8"/>
      <c r="Q139" s="8"/>
      <c r="R139" s="8"/>
      <c r="S139" s="8"/>
      <c r="T139" s="8"/>
    </row>
    <row r="140" customFormat="false" ht="15" hidden="false" customHeight="true" outlineLevel="0" collapsed="false">
      <c r="A140" s="8"/>
      <c r="B140" s="8"/>
      <c r="C140" s="8"/>
      <c r="D140" s="8"/>
      <c r="E140" s="8"/>
      <c r="F140" s="8"/>
      <c r="G140" s="8"/>
      <c r="H140" s="8"/>
      <c r="I140" s="8"/>
      <c r="J140" s="8"/>
      <c r="K140" s="8"/>
      <c r="L140" s="8"/>
      <c r="M140" s="8"/>
      <c r="N140" s="8" t="str">
        <f aca="false">IF(OR($L140="",$M140="",$O140=""),"",IF($L140="S1",8,IF($L140="S2",4,IF($L140="S3",2,1)))*IF($M140="High",3,IF($M140="Medium",2,1))/IF($O140="S",1,IF($O140="M",2,3)))</f>
        <v/>
      </c>
      <c r="O140" s="8"/>
      <c r="P140" s="8"/>
      <c r="Q140" s="8"/>
      <c r="R140" s="8"/>
      <c r="S140" s="8"/>
      <c r="T140" s="8"/>
    </row>
    <row r="141" customFormat="false" ht="15" hidden="false" customHeight="true" outlineLevel="0" collapsed="false">
      <c r="A141" s="8"/>
      <c r="B141" s="8"/>
      <c r="C141" s="8"/>
      <c r="D141" s="8"/>
      <c r="E141" s="8"/>
      <c r="F141" s="8"/>
      <c r="G141" s="8"/>
      <c r="H141" s="8"/>
      <c r="I141" s="8"/>
      <c r="J141" s="8"/>
      <c r="K141" s="8"/>
      <c r="L141" s="8"/>
      <c r="M141" s="8"/>
      <c r="N141" s="8" t="str">
        <f aca="false">IF(OR($L141="",$M141="",$O141=""),"",IF($L141="S1",8,IF($L141="S2",4,IF($L141="S3",2,1)))*IF($M141="High",3,IF($M141="Medium",2,1))/IF($O141="S",1,IF($O141="M",2,3)))</f>
        <v/>
      </c>
      <c r="O141" s="8"/>
      <c r="P141" s="8"/>
      <c r="Q141" s="8"/>
      <c r="R141" s="8"/>
      <c r="S141" s="8"/>
      <c r="T141" s="8"/>
    </row>
  </sheetData>
  <autoFilter ref="A1:T14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1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8"/>
    <col collapsed="false" customWidth="true" hidden="false" outlineLevel="0" max="2" min="2" style="1" width="46"/>
    <col collapsed="false" customWidth="true" hidden="false" outlineLevel="0" max="6" min="3" style="1" width="6"/>
    <col collapsed="false" customWidth="true" hidden="false" outlineLevel="0" max="7" min="7" style="1" width="11"/>
    <col collapsed="false" customWidth="true" hidden="false" outlineLevel="0" max="8" min="8" style="1" width="10"/>
    <col collapsed="false" customWidth="true" hidden="false" outlineLevel="0" max="9" min="9" style="1" width="22"/>
    <col collapsed="false" customWidth="true" hidden="false" outlineLevel="0" max="10" min="10" style="1" width="12"/>
  </cols>
  <sheetData>
    <row r="1" customFormat="false" ht="15" hidden="false" customHeight="true" outlineLevel="0" collapsed="false">
      <c r="A1" s="7" t="s">
        <v>52</v>
      </c>
      <c r="B1" s="7" t="s">
        <v>106</v>
      </c>
      <c r="C1" s="7" t="s">
        <v>12</v>
      </c>
      <c r="D1" s="7" t="s">
        <v>15</v>
      </c>
      <c r="E1" s="7" t="s">
        <v>18</v>
      </c>
      <c r="F1" s="7" t="s">
        <v>21</v>
      </c>
      <c r="G1" s="7" t="s">
        <v>46</v>
      </c>
      <c r="H1" s="7" t="s">
        <v>48</v>
      </c>
      <c r="I1" s="7" t="s">
        <v>991</v>
      </c>
      <c r="J1" s="7" t="s">
        <v>992</v>
      </c>
    </row>
    <row r="2" customFormat="false" ht="15" hidden="false" customHeight="true" outlineLevel="0" collapsed="false">
      <c r="A2" s="10" t="s">
        <v>60</v>
      </c>
      <c r="B2" s="10" t="s">
        <v>61</v>
      </c>
      <c r="C2" s="10" t="n">
        <f aca="false">COUNTIFS('Issue Register'!$B:$B,$A2,'Issue Register'!$L:$L,"S1",'Issue Register'!$D:$D,"&lt;&gt;Rejected")</f>
        <v>1</v>
      </c>
      <c r="D2" s="10" t="n">
        <f aca="false">COUNTIFS('Issue Register'!$B:$B,$A2,'Issue Register'!$L:$L,"S2",'Issue Register'!$D:$D,"&lt;&gt;Rejected")</f>
        <v>1</v>
      </c>
      <c r="E2" s="10" t="n">
        <f aca="false">COUNTIFS('Issue Register'!$B:$B,$A2,'Issue Register'!$L:$L,"S3",'Issue Register'!$D:$D,"&lt;&gt;Rejected")</f>
        <v>5</v>
      </c>
      <c r="F2" s="10" t="n">
        <f aca="false">COUNTIFS('Issue Register'!$B:$B,$A2,'Issue Register'!$L:$L,"S4",'Issue Register'!$D:$D,"&lt;&gt;Rejected")</f>
        <v>0</v>
      </c>
      <c r="G2" s="10" t="n">
        <f aca="false">COUNTIFS('Issue Register'!$B:$B,$A2,'Issue Register'!$D:$D,"Confirmed")</f>
        <v>7</v>
      </c>
      <c r="H2" s="10" t="n">
        <f aca="false">COUNTIFS('Issue Register'!$B:$B,$A2,'Issue Register'!$D:$D,"Rejected")</f>
        <v>0</v>
      </c>
      <c r="I2" s="10" t="n">
        <f aca="false">COUNTIFS('Issue Register'!$B:$B,$A2,'Issue Register'!$D:$D,"Confirmed")</f>
        <v>7</v>
      </c>
      <c r="J2" s="10" t="n">
        <f aca="false">MAX(0,100-(C2*15+D2*8+E2*3+F2*1))</f>
        <v>62</v>
      </c>
    </row>
    <row r="3" customFormat="false" ht="15" hidden="false" customHeight="true" outlineLevel="0" collapsed="false">
      <c r="A3" s="10" t="s">
        <v>64</v>
      </c>
      <c r="B3" s="10" t="s">
        <v>65</v>
      </c>
      <c r="C3" s="10" t="n">
        <f aca="false">COUNTIFS('Issue Register'!$B:$B,$A3,'Issue Register'!$L:$L,"S1",'Issue Register'!$D:$D,"&lt;&gt;Rejected")</f>
        <v>0</v>
      </c>
      <c r="D3" s="10" t="n">
        <f aca="false">COUNTIFS('Issue Register'!$B:$B,$A3,'Issue Register'!$L:$L,"S2",'Issue Register'!$D:$D,"&lt;&gt;Rejected")</f>
        <v>1</v>
      </c>
      <c r="E3" s="10" t="n">
        <f aca="false">COUNTIFS('Issue Register'!$B:$B,$A3,'Issue Register'!$L:$L,"S3",'Issue Register'!$D:$D,"&lt;&gt;Rejected")</f>
        <v>8</v>
      </c>
      <c r="F3" s="10" t="n">
        <f aca="false">COUNTIFS('Issue Register'!$B:$B,$A3,'Issue Register'!$L:$L,"S4",'Issue Register'!$D:$D,"&lt;&gt;Rejected")</f>
        <v>3</v>
      </c>
      <c r="G3" s="10" t="n">
        <f aca="false">COUNTIFS('Issue Register'!$B:$B,$A3,'Issue Register'!$D:$D,"Confirmed")</f>
        <v>12</v>
      </c>
      <c r="H3" s="10" t="n">
        <f aca="false">COUNTIFS('Issue Register'!$B:$B,$A3,'Issue Register'!$D:$D,"Rejected")</f>
        <v>0</v>
      </c>
      <c r="I3" s="10" t="n">
        <f aca="false">COUNTIFS('Issue Register'!$B:$B,$A3,'Issue Register'!$D:$D,"Confirmed")</f>
        <v>12</v>
      </c>
      <c r="J3" s="10" t="n">
        <f aca="false">MAX(0,100-(C3*15+D3*8+E3*3+F3*1))</f>
        <v>65</v>
      </c>
    </row>
    <row r="4" customFormat="false" ht="15" hidden="false" customHeight="true" outlineLevel="0" collapsed="false">
      <c r="A4" s="10" t="s">
        <v>67</v>
      </c>
      <c r="B4" s="10" t="s">
        <v>68</v>
      </c>
      <c r="C4" s="10" t="n">
        <f aca="false">COUNTIFS('Issue Register'!$B:$B,$A4,'Issue Register'!$L:$L,"S1",'Issue Register'!$D:$D,"&lt;&gt;Rejected")</f>
        <v>0</v>
      </c>
      <c r="D4" s="10" t="n">
        <f aca="false">COUNTIFS('Issue Register'!$B:$B,$A4,'Issue Register'!$L:$L,"S2",'Issue Register'!$D:$D,"&lt;&gt;Rejected")</f>
        <v>2</v>
      </c>
      <c r="E4" s="10" t="n">
        <f aca="false">COUNTIFS('Issue Register'!$B:$B,$A4,'Issue Register'!$L:$L,"S3",'Issue Register'!$D:$D,"&lt;&gt;Rejected")</f>
        <v>5</v>
      </c>
      <c r="F4" s="10" t="n">
        <f aca="false">COUNTIFS('Issue Register'!$B:$B,$A4,'Issue Register'!$L:$L,"S4",'Issue Register'!$D:$D,"&lt;&gt;Rejected")</f>
        <v>0</v>
      </c>
      <c r="G4" s="10" t="n">
        <f aca="false">COUNTIFS('Issue Register'!$B:$B,$A4,'Issue Register'!$D:$D,"Confirmed")</f>
        <v>7</v>
      </c>
      <c r="H4" s="10" t="n">
        <f aca="false">COUNTIFS('Issue Register'!$B:$B,$A4,'Issue Register'!$D:$D,"Rejected")</f>
        <v>0</v>
      </c>
      <c r="I4" s="10" t="n">
        <f aca="false">COUNTIFS('Issue Register'!$B:$B,$A4,'Issue Register'!$D:$D,"Confirmed")</f>
        <v>7</v>
      </c>
      <c r="J4" s="10" t="n">
        <f aca="false">MAX(0,100-(C4*15+D4*8+E4*3+F4*1))</f>
        <v>69</v>
      </c>
    </row>
    <row r="5" customFormat="false" ht="15" hidden="false" customHeight="true" outlineLevel="0" collapsed="false">
      <c r="A5" s="10" t="s">
        <v>71</v>
      </c>
      <c r="B5" s="10" t="s">
        <v>72</v>
      </c>
      <c r="C5" s="10" t="n">
        <f aca="false">COUNTIFS('Issue Register'!$B:$B,$A5,'Issue Register'!$L:$L,"S1",'Issue Register'!$D:$D,"&lt;&gt;Rejected")</f>
        <v>0</v>
      </c>
      <c r="D5" s="10" t="n">
        <f aca="false">COUNTIFS('Issue Register'!$B:$B,$A5,'Issue Register'!$L:$L,"S2",'Issue Register'!$D:$D,"&lt;&gt;Rejected")</f>
        <v>1</v>
      </c>
      <c r="E5" s="10" t="n">
        <f aca="false">COUNTIFS('Issue Register'!$B:$B,$A5,'Issue Register'!$L:$L,"S3",'Issue Register'!$D:$D,"&lt;&gt;Rejected")</f>
        <v>3</v>
      </c>
      <c r="F5" s="10" t="n">
        <f aca="false">COUNTIFS('Issue Register'!$B:$B,$A5,'Issue Register'!$L:$L,"S4",'Issue Register'!$D:$D,"&lt;&gt;Rejected")</f>
        <v>2</v>
      </c>
      <c r="G5" s="10" t="n">
        <f aca="false">COUNTIFS('Issue Register'!$B:$B,$A5,'Issue Register'!$D:$D,"Confirmed")</f>
        <v>6</v>
      </c>
      <c r="H5" s="10" t="n">
        <f aca="false">COUNTIFS('Issue Register'!$B:$B,$A5,'Issue Register'!$D:$D,"Rejected")</f>
        <v>0</v>
      </c>
      <c r="I5" s="10" t="n">
        <f aca="false">COUNTIFS('Issue Register'!$B:$B,$A5,'Issue Register'!$D:$D,"Confirmed")</f>
        <v>6</v>
      </c>
      <c r="J5" s="10" t="n">
        <f aca="false">MAX(0,100-(C5*15+D5*8+E5*3+F5*1))</f>
        <v>81</v>
      </c>
    </row>
    <row r="6" customFormat="false" ht="15" hidden="false" customHeight="true" outlineLevel="0" collapsed="false">
      <c r="A6" s="10" t="s">
        <v>75</v>
      </c>
      <c r="B6" s="10" t="s">
        <v>76</v>
      </c>
      <c r="C6" s="10" t="n">
        <f aca="false">COUNTIFS('Issue Register'!$B:$B,$A6,'Issue Register'!$L:$L,"S1",'Issue Register'!$D:$D,"&lt;&gt;Rejected")</f>
        <v>0</v>
      </c>
      <c r="D6" s="10" t="n">
        <f aca="false">COUNTIFS('Issue Register'!$B:$B,$A6,'Issue Register'!$L:$L,"S2",'Issue Register'!$D:$D,"&lt;&gt;Rejected")</f>
        <v>0</v>
      </c>
      <c r="E6" s="10" t="n">
        <f aca="false">COUNTIFS('Issue Register'!$B:$B,$A6,'Issue Register'!$L:$L,"S3",'Issue Register'!$D:$D,"&lt;&gt;Rejected")</f>
        <v>5</v>
      </c>
      <c r="F6" s="10" t="n">
        <f aca="false">COUNTIFS('Issue Register'!$B:$B,$A6,'Issue Register'!$L:$L,"S4",'Issue Register'!$D:$D,"&lt;&gt;Rejected")</f>
        <v>3</v>
      </c>
      <c r="G6" s="10" t="n">
        <f aca="false">COUNTIFS('Issue Register'!$B:$B,$A6,'Issue Register'!$D:$D,"Confirmed")</f>
        <v>8</v>
      </c>
      <c r="H6" s="10" t="n">
        <f aca="false">COUNTIFS('Issue Register'!$B:$B,$A6,'Issue Register'!$D:$D,"Rejected")</f>
        <v>1</v>
      </c>
      <c r="I6" s="10" t="n">
        <f aca="false">COUNTIFS('Issue Register'!$B:$B,$A6,'Issue Register'!$D:$D,"Confirmed")</f>
        <v>8</v>
      </c>
      <c r="J6" s="10" t="n">
        <f aca="false">MAX(0,100-(C6*15+D6*8+E6*3+F6*1))</f>
        <v>82</v>
      </c>
    </row>
    <row r="7" customFormat="false" ht="15" hidden="false" customHeight="true" outlineLevel="0" collapsed="false">
      <c r="A7" s="10" t="s">
        <v>79</v>
      </c>
      <c r="B7" s="10" t="s">
        <v>80</v>
      </c>
      <c r="C7" s="10" t="n">
        <f aca="false">COUNTIFS('Issue Register'!$B:$B,$A7,'Issue Register'!$L:$L,"S1",'Issue Register'!$D:$D,"&lt;&gt;Rejected")</f>
        <v>1</v>
      </c>
      <c r="D7" s="10" t="n">
        <f aca="false">COUNTIFS('Issue Register'!$B:$B,$A7,'Issue Register'!$L:$L,"S2",'Issue Register'!$D:$D,"&lt;&gt;Rejected")</f>
        <v>1</v>
      </c>
      <c r="E7" s="10" t="n">
        <f aca="false">COUNTIFS('Issue Register'!$B:$B,$A7,'Issue Register'!$L:$L,"S3",'Issue Register'!$D:$D,"&lt;&gt;Rejected")</f>
        <v>1</v>
      </c>
      <c r="F7" s="10" t="n">
        <f aca="false">COUNTIFS('Issue Register'!$B:$B,$A7,'Issue Register'!$L:$L,"S4",'Issue Register'!$D:$D,"&lt;&gt;Rejected")</f>
        <v>1</v>
      </c>
      <c r="G7" s="10" t="n">
        <f aca="false">COUNTIFS('Issue Register'!$B:$B,$A7,'Issue Register'!$D:$D,"Confirmed")</f>
        <v>4</v>
      </c>
      <c r="H7" s="10" t="n">
        <f aca="false">COUNTIFS('Issue Register'!$B:$B,$A7,'Issue Register'!$D:$D,"Rejected")</f>
        <v>0</v>
      </c>
      <c r="I7" s="10" t="n">
        <f aca="false">COUNTIFS('Issue Register'!$B:$B,$A7,'Issue Register'!$D:$D,"Confirmed")</f>
        <v>4</v>
      </c>
      <c r="J7" s="10" t="n">
        <f aca="false">MAX(0,100-(C7*15+D7*8+E7*3+F7*1))</f>
        <v>73</v>
      </c>
    </row>
    <row r="8" customFormat="false" ht="15" hidden="false" customHeight="true" outlineLevel="0" collapsed="false">
      <c r="A8" s="10" t="s">
        <v>83</v>
      </c>
      <c r="B8" s="10" t="s">
        <v>84</v>
      </c>
      <c r="C8" s="10" t="n">
        <f aca="false">COUNTIFS('Issue Register'!$B:$B,$A8,'Issue Register'!$L:$L,"S1",'Issue Register'!$D:$D,"&lt;&gt;Rejected")</f>
        <v>2</v>
      </c>
      <c r="D8" s="10" t="n">
        <f aca="false">COUNTIFS('Issue Register'!$B:$B,$A8,'Issue Register'!$L:$L,"S2",'Issue Register'!$D:$D,"&lt;&gt;Rejected")</f>
        <v>1</v>
      </c>
      <c r="E8" s="10" t="n">
        <f aca="false">COUNTIFS('Issue Register'!$B:$B,$A8,'Issue Register'!$L:$L,"S3",'Issue Register'!$D:$D,"&lt;&gt;Rejected")</f>
        <v>2</v>
      </c>
      <c r="F8" s="10" t="n">
        <f aca="false">COUNTIFS('Issue Register'!$B:$B,$A8,'Issue Register'!$L:$L,"S4",'Issue Register'!$D:$D,"&lt;&gt;Rejected")</f>
        <v>0</v>
      </c>
      <c r="G8" s="10" t="n">
        <f aca="false">COUNTIFS('Issue Register'!$B:$B,$A8,'Issue Register'!$D:$D,"Confirmed")</f>
        <v>5</v>
      </c>
      <c r="H8" s="10" t="n">
        <f aca="false">COUNTIFS('Issue Register'!$B:$B,$A8,'Issue Register'!$D:$D,"Rejected")</f>
        <v>1</v>
      </c>
      <c r="I8" s="10" t="n">
        <f aca="false">COUNTIFS('Issue Register'!$B:$B,$A8,'Issue Register'!$D:$D,"Confirmed")</f>
        <v>5</v>
      </c>
      <c r="J8" s="10" t="n">
        <f aca="false">MAX(0,100-(C8*15+D8*8+E8*3+F8*1))</f>
        <v>56</v>
      </c>
    </row>
    <row r="9" customFormat="false" ht="15" hidden="false" customHeight="true" outlineLevel="0" collapsed="false">
      <c r="A9" s="10" t="s">
        <v>87</v>
      </c>
      <c r="B9" s="10" t="s">
        <v>88</v>
      </c>
      <c r="C9" s="10" t="n">
        <f aca="false">COUNTIFS('Issue Register'!$B:$B,$A9,'Issue Register'!$L:$L,"S1",'Issue Register'!$D:$D,"&lt;&gt;Rejected")</f>
        <v>2</v>
      </c>
      <c r="D9" s="10" t="n">
        <f aca="false">COUNTIFS('Issue Register'!$B:$B,$A9,'Issue Register'!$L:$L,"S2",'Issue Register'!$D:$D,"&lt;&gt;Rejected")</f>
        <v>2</v>
      </c>
      <c r="E9" s="10" t="n">
        <f aca="false">COUNTIFS('Issue Register'!$B:$B,$A9,'Issue Register'!$L:$L,"S3",'Issue Register'!$D:$D,"&lt;&gt;Rejected")</f>
        <v>2</v>
      </c>
      <c r="F9" s="10" t="n">
        <f aca="false">COUNTIFS('Issue Register'!$B:$B,$A9,'Issue Register'!$L:$L,"S4",'Issue Register'!$D:$D,"&lt;&gt;Rejected")</f>
        <v>2</v>
      </c>
      <c r="G9" s="10" t="n">
        <f aca="false">COUNTIFS('Issue Register'!$B:$B,$A9,'Issue Register'!$D:$D,"Confirmed")</f>
        <v>8</v>
      </c>
      <c r="H9" s="10" t="n">
        <f aca="false">COUNTIFS('Issue Register'!$B:$B,$A9,'Issue Register'!$D:$D,"Rejected")</f>
        <v>0</v>
      </c>
      <c r="I9" s="10" t="n">
        <f aca="false">COUNTIFS('Issue Register'!$B:$B,$A9,'Issue Register'!$D:$D,"Confirmed")</f>
        <v>8</v>
      </c>
      <c r="J9" s="10" t="n">
        <f aca="false">MAX(0,100-(C9*15+D9*8+E9*3+F9*1))</f>
        <v>46</v>
      </c>
    </row>
    <row r="10" customFormat="false" ht="15" hidden="false" customHeight="true" outlineLevel="0" collapsed="false">
      <c r="A10" s="10" t="s">
        <v>91</v>
      </c>
      <c r="B10" s="10" t="s">
        <v>92</v>
      </c>
      <c r="C10" s="10" t="n">
        <f aca="false">COUNTIFS('Issue Register'!$B:$B,$A10,'Issue Register'!$L:$L,"S1",'Issue Register'!$D:$D,"&lt;&gt;Rejected")</f>
        <v>0</v>
      </c>
      <c r="D10" s="10" t="n">
        <f aca="false">COUNTIFS('Issue Register'!$B:$B,$A10,'Issue Register'!$L:$L,"S2",'Issue Register'!$D:$D,"&lt;&gt;Rejected")</f>
        <v>0</v>
      </c>
      <c r="E10" s="10" t="n">
        <f aca="false">COUNTIFS('Issue Register'!$B:$B,$A10,'Issue Register'!$L:$L,"S3",'Issue Register'!$D:$D,"&lt;&gt;Rejected")</f>
        <v>2</v>
      </c>
      <c r="F10" s="10" t="n">
        <f aca="false">COUNTIFS('Issue Register'!$B:$B,$A10,'Issue Register'!$L:$L,"S4",'Issue Register'!$D:$D,"&lt;&gt;Rejected")</f>
        <v>9</v>
      </c>
      <c r="G10" s="10" t="n">
        <f aca="false">COUNTIFS('Issue Register'!$B:$B,$A10,'Issue Register'!$D:$D,"Confirmed")</f>
        <v>11</v>
      </c>
      <c r="H10" s="10" t="n">
        <f aca="false">COUNTIFS('Issue Register'!$B:$B,$A10,'Issue Register'!$D:$D,"Rejected")</f>
        <v>1</v>
      </c>
      <c r="I10" s="10" t="n">
        <f aca="false">COUNTIFS('Issue Register'!$B:$B,$A10,'Issue Register'!$D:$D,"Confirmed")</f>
        <v>11</v>
      </c>
      <c r="J10" s="10" t="n">
        <f aca="false">MAX(0,100-(C10*15+D10*8+E10*3+F10*1))</f>
        <v>85</v>
      </c>
    </row>
    <row r="11" customFormat="false" ht="15" hidden="false" customHeight="true" outlineLevel="0" collapsed="false">
      <c r="A11" s="10" t="s">
        <v>95</v>
      </c>
      <c r="B11" s="10" t="s">
        <v>96</v>
      </c>
      <c r="C11" s="10" t="n">
        <f aca="false">COUNTIFS('Issue Register'!$B:$B,$A11,'Issue Register'!$L:$L,"S1",'Issue Register'!$D:$D,"&lt;&gt;Rejected")</f>
        <v>3</v>
      </c>
      <c r="D11" s="10" t="n">
        <f aca="false">COUNTIFS('Issue Register'!$B:$B,$A11,'Issue Register'!$L:$L,"S2",'Issue Register'!$D:$D,"&lt;&gt;Rejected")</f>
        <v>3</v>
      </c>
      <c r="E11" s="10" t="n">
        <f aca="false">COUNTIFS('Issue Register'!$B:$B,$A11,'Issue Register'!$L:$L,"S3",'Issue Register'!$D:$D,"&lt;&gt;Rejected")</f>
        <v>8</v>
      </c>
      <c r="F11" s="10" t="n">
        <f aca="false">COUNTIFS('Issue Register'!$B:$B,$A11,'Issue Register'!$L:$L,"S4",'Issue Register'!$D:$D,"&lt;&gt;Rejected")</f>
        <v>1</v>
      </c>
      <c r="G11" s="10" t="n">
        <f aca="false">COUNTIFS('Issue Register'!$B:$B,$A11,'Issue Register'!$D:$D,"Confirmed")</f>
        <v>15</v>
      </c>
      <c r="H11" s="10" t="n">
        <f aca="false">COUNTIFS('Issue Register'!$B:$B,$A11,'Issue Register'!$D:$D,"Rejected")</f>
        <v>0</v>
      </c>
      <c r="I11" s="10" t="n">
        <f aca="false">COUNTIFS('Issue Register'!$B:$B,$A11,'Issue Register'!$D:$D,"Confirmed")</f>
        <v>15</v>
      </c>
      <c r="J11" s="10" t="n">
        <f aca="false">MAX(0,100-(C11*15+D11*8+E11*3+F11*1))</f>
        <v>6</v>
      </c>
    </row>
    <row r="12" customFormat="false" ht="15" hidden="false" customHeight="true" outlineLevel="0" collapsed="false">
      <c r="A12" s="10" t="s">
        <v>99</v>
      </c>
      <c r="B12" s="10" t="s">
        <v>100</v>
      </c>
      <c r="C12" s="10" t="n">
        <f aca="false">COUNTIFS('Issue Register'!$B:$B,$A12,'Issue Register'!$L:$L,"S1",'Issue Register'!$D:$D,"&lt;&gt;Rejected")</f>
        <v>1</v>
      </c>
      <c r="D12" s="10" t="n">
        <f aca="false">COUNTIFS('Issue Register'!$B:$B,$A12,'Issue Register'!$L:$L,"S2",'Issue Register'!$D:$D,"&lt;&gt;Rejected")</f>
        <v>4</v>
      </c>
      <c r="E12" s="10" t="n">
        <f aca="false">COUNTIFS('Issue Register'!$B:$B,$A12,'Issue Register'!$L:$L,"S3",'Issue Register'!$D:$D,"&lt;&gt;Rejected")</f>
        <v>2</v>
      </c>
      <c r="F12" s="10" t="n">
        <f aca="false">COUNTIFS('Issue Register'!$B:$B,$A12,'Issue Register'!$L:$L,"S4",'Issue Register'!$D:$D,"&lt;&gt;Rejected")</f>
        <v>3</v>
      </c>
      <c r="G12" s="10" t="n">
        <f aca="false">COUNTIFS('Issue Register'!$B:$B,$A12,'Issue Register'!$D:$D,"Confirmed")</f>
        <v>10</v>
      </c>
      <c r="H12" s="10" t="n">
        <f aca="false">COUNTIFS('Issue Register'!$B:$B,$A12,'Issue Register'!$D:$D,"Rejected")</f>
        <v>0</v>
      </c>
      <c r="I12" s="10" t="n">
        <f aca="false">COUNTIFS('Issue Register'!$B:$B,$A12,'Issue Register'!$D:$D,"Confirmed")</f>
        <v>10</v>
      </c>
      <c r="J12" s="10" t="n">
        <f aca="false">MAX(0,100-(C12*15+D12*8+E12*3+F12*1))</f>
        <v>44</v>
      </c>
    </row>
    <row r="13" customFormat="false" ht="15" hidden="false" customHeight="false" outlineLevel="0" collapsed="false">
      <c r="A13" s="11" t="s">
        <v>56</v>
      </c>
      <c r="B13" s="11" t="s">
        <v>993</v>
      </c>
      <c r="C13" s="11" t="n">
        <f aca="false">COUNTIFS('Issue Register'!$B:$B,$A13,'Issue Register'!$L:$L,"S1",'Issue Register'!$D:$D,"&lt;&gt;Rejected")</f>
        <v>1</v>
      </c>
      <c r="D13" s="11" t="n">
        <f aca="false">COUNTIFS('Issue Register'!$B:$B,$A13,'Issue Register'!$L:$L,"S2",'Issue Register'!$D:$D,"&lt;&gt;Rejected")</f>
        <v>2</v>
      </c>
      <c r="E13" s="11" t="n">
        <f aca="false">COUNTIFS('Issue Register'!$B:$B,$A13,'Issue Register'!$L:$L,"S3",'Issue Register'!$D:$D,"&lt;&gt;Rejected")</f>
        <v>0</v>
      </c>
      <c r="F13" s="11" t="n">
        <f aca="false">COUNTIFS('Issue Register'!$B:$B,$A13,'Issue Register'!$L:$L,"S4",'Issue Register'!$D:$D,"&lt;&gt;Rejected")</f>
        <v>1</v>
      </c>
      <c r="G13" s="11" t="n">
        <f aca="false">COUNTIFS('Issue Register'!$B:$B,$A13,'Issue Register'!$D:$D,"Confirmed")</f>
        <v>4</v>
      </c>
      <c r="H13" s="11" t="n">
        <f aca="false">COUNTIFS('Issue Register'!$B:$B,$A13,'Issue Register'!$D:$D,"Rejected")</f>
        <v>0</v>
      </c>
      <c r="I13" s="11" t="n">
        <f aca="false">COUNTIFS('Issue Register'!$B:$B,$A13,'Issue Register'!$D:$D,"Confirmed")</f>
        <v>4</v>
      </c>
      <c r="J13" s="11" t="n">
        <f aca="false">MAX(0,100-(C13*15+D13*8+E13*3+F13*1))</f>
        <v>68</v>
      </c>
    </row>
    <row r="14" customFormat="false" ht="15" hidden="false" customHeight="true" outlineLevel="0" collapsed="false">
      <c r="B14" s="12" t="s">
        <v>994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44"/>
    <col collapsed="false" customWidth="true" hidden="false" outlineLevel="0" max="2" min="2" style="1" width="12"/>
    <col collapsed="false" customWidth="true" hidden="false" outlineLevel="0" max="3" min="3" style="1" width="70"/>
  </cols>
  <sheetData>
    <row r="1" customFormat="false" ht="15" hidden="false" customHeight="true" outlineLevel="0" collapsed="false">
      <c r="A1" s="5" t="s">
        <v>995</v>
      </c>
    </row>
    <row r="3" customFormat="false" ht="15" hidden="false" customHeight="true" outlineLevel="0" collapsed="false">
      <c r="A3" s="6" t="s">
        <v>996</v>
      </c>
      <c r="B3" s="5" t="n">
        <f aca="false">COUNTA('Issue Register'!$A$2:$A$141)</f>
        <v>100</v>
      </c>
    </row>
    <row r="4" customFormat="false" ht="15" hidden="false" customHeight="true" outlineLevel="0" collapsed="false">
      <c r="A4" s="6" t="s">
        <v>46</v>
      </c>
      <c r="B4" s="5" t="n">
        <f aca="false">COUNTIF('Issue Register'!$D:$D,"Confirmed")</f>
        <v>97</v>
      </c>
    </row>
    <row r="5" customFormat="false" ht="15" hidden="false" customHeight="true" outlineLevel="0" collapsed="false">
      <c r="A5" s="6" t="s">
        <v>48</v>
      </c>
      <c r="B5" s="5" t="n">
        <f aca="false">COUNTIF('Issue Register'!$D:$D,"Rejected")</f>
        <v>3</v>
      </c>
    </row>
    <row r="6" customFormat="false" ht="15" hidden="false" customHeight="true" outlineLevel="0" collapsed="false">
      <c r="A6" s="6" t="s">
        <v>997</v>
      </c>
      <c r="B6" s="5" t="n">
        <f aca="false">COUNTIF('Issue Register'!$D:$D,"Verify")</f>
        <v>0</v>
      </c>
      <c r="C6" s="12" t="s">
        <v>998</v>
      </c>
    </row>
    <row r="7" customFormat="false" ht="15" hidden="false" customHeight="true" outlineLevel="0" collapsed="false">
      <c r="A7" s="6" t="s">
        <v>50</v>
      </c>
      <c r="B7" s="5" t="n">
        <f aca="false">COUNTIF('Issue Register'!$D:$D,"Fixed")</f>
        <v>0</v>
      </c>
    </row>
    <row r="9" customFormat="false" ht="15" hidden="false" customHeight="true" outlineLevel="0" collapsed="false">
      <c r="A9" s="5" t="s">
        <v>999</v>
      </c>
    </row>
    <row r="10" customFormat="false" ht="15" hidden="false" customHeight="true" outlineLevel="0" collapsed="false">
      <c r="A10" s="6" t="s">
        <v>12</v>
      </c>
      <c r="B10" s="5" t="n">
        <f aca="false">COUNTIFS('Issue Register'!$L:$L,"S1",'Issue Register'!$D:$D,"&lt;&gt;Rejected")</f>
        <v>11</v>
      </c>
    </row>
    <row r="11" customFormat="false" ht="15" hidden="false" customHeight="true" outlineLevel="0" collapsed="false">
      <c r="A11" s="6" t="s">
        <v>15</v>
      </c>
      <c r="B11" s="5" t="n">
        <f aca="false">COUNTIFS('Issue Register'!$L:$L,"S2",'Issue Register'!$D:$D,"&lt;&gt;Rejected")</f>
        <v>18</v>
      </c>
    </row>
    <row r="12" customFormat="false" ht="15" hidden="false" customHeight="true" outlineLevel="0" collapsed="false">
      <c r="A12" s="6" t="s">
        <v>18</v>
      </c>
      <c r="B12" s="5" t="n">
        <f aca="false">COUNTIFS('Issue Register'!$L:$L,"S3",'Issue Register'!$D:$D,"&lt;&gt;Rejected")</f>
        <v>43</v>
      </c>
    </row>
    <row r="13" customFormat="false" ht="15" hidden="false" customHeight="true" outlineLevel="0" collapsed="false">
      <c r="A13" s="6" t="s">
        <v>21</v>
      </c>
      <c r="B13" s="5" t="n">
        <f aca="false">COUNTIFS('Issue Register'!$L:$L,"S4",'Issue Register'!$D:$D,"&lt;&gt;Rejected")</f>
        <v>25</v>
      </c>
    </row>
    <row r="15" customFormat="false" ht="15" hidden="false" customHeight="true" outlineLevel="0" collapsed="false">
      <c r="A15" s="5" t="s">
        <v>1000</v>
      </c>
    </row>
    <row r="16" customFormat="false" ht="15" hidden="false" customHeight="true" outlineLevel="0" collapsed="false">
      <c r="A16" s="6" t="s">
        <v>1001</v>
      </c>
      <c r="B16" s="5" t="n">
        <f aca="false">COUNTIFS('Issue Register'!$L:$L,"S1",'Issue Register'!$D:$D,"Confirmed")</f>
        <v>11</v>
      </c>
      <c r="C16" s="12" t="s">
        <v>1002</v>
      </c>
    </row>
    <row r="17" customFormat="false" ht="15" hidden="false" customHeight="true" outlineLevel="0" collapsed="false">
      <c r="A17" s="6" t="s">
        <v>1003</v>
      </c>
      <c r="B17" s="5" t="n">
        <f aca="false">SUMPRODUCT(('Issue Register'!$A$2:$A$141&lt;&gt;"")*('Issue Register'!$F$2:$F$141=""))</f>
        <v>0</v>
      </c>
      <c r="C17" s="12" t="s">
        <v>1004</v>
      </c>
    </row>
    <row r="18" customFormat="false" ht="15" hidden="false" customHeight="true" outlineLevel="0" collapsed="false">
      <c r="A18" s="6" t="s">
        <v>1005</v>
      </c>
      <c r="B18" s="5" t="n">
        <f aca="false">SUMPRODUCT(('Issue Register'!$D$2:$D$141="Fixed")*('Issue Register'!$T$2:$T$141=""))</f>
        <v>0</v>
      </c>
      <c r="C18" s="12" t="s">
        <v>1006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2026-07-23T09:59:00Z</dcterms:created>
  <dc:creator>openpyxl</dc:creator>
  <dc:description/>
  <dc:language>en-US</dc:language>
  <cp:lastModifiedBy/>
  <dcterms:modified xsi:type="dcterms:W3CDTF">2026-07-23T11:32:43Z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